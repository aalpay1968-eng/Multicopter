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WBS KAPAK" sheetId="1" state="visible" r:id="rId1"/>
    <sheet xmlns:r="http://schemas.openxmlformats.org/officeDocument/2006/relationships" name="🏗️ WBS ANA TABLO" sheetId="2" state="visible" r:id="rId2"/>
    <sheet xmlns:r="http://schemas.openxmlformats.org/officeDocument/2006/relationships" name="🔧 Değişiklik Kaydı" sheetId="3" state="visible" r:id="rId3"/>
    <sheet xmlns:r="http://schemas.openxmlformats.org/officeDocument/2006/relationships" name="🔄 MDAO Döngüsü" sheetId="4" state="visible" r:id="rId4"/>
    <sheet xmlns:r="http://schemas.openxmlformats.org/officeDocument/2006/relationships" name="✅ Kabul Kriterleri v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000000"/>
      <sz val="9"/>
    </font>
    <font>
      <name val="Arial"/>
      <color rgb="FF000000"/>
      <sz val="9"/>
    </font>
    <font>
      <name val="Arial"/>
      <sz val="9"/>
    </font>
  </fonts>
  <fills count="43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2E5FA3"/>
      </patternFill>
    </fill>
    <fill>
      <patternFill patternType="solid">
        <fgColor rgb="FF243B0C"/>
      </patternFill>
    </fill>
    <fill>
      <patternFill patternType="solid">
        <fgColor rgb="FFE8F5E9"/>
      </patternFill>
    </fill>
    <fill>
      <patternFill patternType="solid">
        <fgColor rgb="FFFFE082"/>
      </patternFill>
    </fill>
    <fill>
      <patternFill patternType="solid">
        <fgColor rgb="FF7B2D00"/>
      </patternFill>
    </fill>
    <fill>
      <patternFill patternType="solid">
        <fgColor rgb="FFFCE4D6"/>
      </patternFill>
    </fill>
    <fill>
      <patternFill patternType="solid">
        <fgColor rgb="FFA5D6A7"/>
      </patternFill>
    </fill>
    <fill>
      <patternFill patternType="solid">
        <fgColor rgb="FF0D3354"/>
      </patternFill>
    </fill>
    <fill>
      <patternFill patternType="solid">
        <fgColor rgb="FFD6EAF8"/>
      </patternFill>
    </fill>
    <fill>
      <patternFill patternType="solid">
        <fgColor rgb="FF3D1A6B"/>
      </patternFill>
    </fill>
    <fill>
      <patternFill patternType="solid">
        <fgColor rgb="FFFFD54F"/>
      </patternFill>
    </fill>
    <fill>
      <patternFill patternType="solid">
        <fgColor rgb="FFEDE7F6"/>
      </patternFill>
    </fill>
    <fill>
      <patternFill patternType="solid">
        <fgColor rgb="FF5E4D00"/>
      </patternFill>
    </fill>
    <fill>
      <patternFill patternType="solid">
        <fgColor rgb="FFFDF3D6"/>
      </patternFill>
    </fill>
    <fill>
      <patternFill patternType="solid">
        <fgColor rgb="FF0D3832"/>
      </patternFill>
    </fill>
    <fill>
      <patternFill patternType="solid">
        <fgColor rgb="FFD5F5E3"/>
      </patternFill>
    </fill>
    <fill>
      <patternFill patternType="solid">
        <fgColor rgb="FF0A2D4A"/>
      </patternFill>
    </fill>
    <fill>
      <patternFill patternType="solid">
        <fgColor rgb="FF4A1260"/>
      </patternFill>
    </fill>
    <fill>
      <patternFill patternType="solid">
        <fgColor rgb="FFFBE9E7"/>
      </patternFill>
    </fill>
    <fill>
      <patternFill patternType="solid">
        <fgColor rgb="FF6B1A12"/>
      </patternFill>
    </fill>
    <fill>
      <patternFill patternType="solid">
        <fgColor rgb="FFFDEDEC"/>
      </patternFill>
    </fill>
    <fill>
      <patternFill patternType="solid">
        <fgColor rgb="FF3A0E54"/>
      </patternFill>
    </fill>
    <fill>
      <patternFill patternType="solid">
        <fgColor rgb="FFF3E5F5"/>
      </patternFill>
    </fill>
    <fill>
      <patternFill patternType="solid">
        <fgColor rgb="FF12345A"/>
      </patternFill>
    </fill>
    <fill>
      <patternFill patternType="solid">
        <fgColor rgb="FFE8EAF6"/>
      </patternFill>
    </fill>
    <fill>
      <patternFill patternType="solid">
        <fgColor rgb="FF1A4D1A"/>
      </patternFill>
    </fill>
    <fill>
      <patternFill patternType="solid">
        <fgColor rgb="FFE0F2F1"/>
      </patternFill>
    </fill>
    <fill>
      <patternFill patternType="solid">
        <fgColor rgb="FF5A3000"/>
      </patternFill>
    </fill>
    <fill>
      <patternFill patternType="solid">
        <fgColor rgb="FFFFF3E0"/>
      </patternFill>
    </fill>
    <fill>
      <patternFill patternType="solid">
        <fgColor rgb="FF00304A"/>
      </patternFill>
    </fill>
    <fill>
      <patternFill patternType="solid">
        <fgColor rgb="FFE0F7FA"/>
      </patternFill>
    </fill>
    <fill>
      <patternFill patternType="solid">
        <fgColor rgb="FF004D40"/>
      </patternFill>
    </fill>
    <fill>
      <patternFill patternType="solid">
        <fgColor rgb="FFF2F2F2"/>
      </patternFill>
    </fill>
    <fill>
      <patternFill patternType="solid">
        <fgColor rgb="FFB3E5F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E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top" wrapText="1"/>
    </xf>
    <xf numFmtId="0" fontId="8" fillId="15" borderId="1" applyAlignment="1" pivotButton="0" quotePrefix="0" xfId="0">
      <alignment horizontal="left" vertical="top" wrapText="1"/>
    </xf>
    <xf numFmtId="0" fontId="7" fillId="16" borderId="1" applyAlignment="1" pivotButton="0" quotePrefix="0" xfId="0">
      <alignment horizontal="left" vertical="top" wrapText="1"/>
    </xf>
    <xf numFmtId="0" fontId="8" fillId="16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top" wrapText="1"/>
    </xf>
    <xf numFmtId="0" fontId="8" fillId="20" borderId="1" applyAlignment="1" pivotButton="0" quotePrefix="0" xfId="0">
      <alignment horizontal="left" vertical="top" wrapText="1"/>
    </xf>
    <xf numFmtId="0" fontId="6" fillId="21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6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top" wrapText="1"/>
    </xf>
    <xf numFmtId="0" fontId="8" fillId="23" borderId="1" applyAlignment="1" pivotButton="0" quotePrefix="0" xfId="0">
      <alignment horizontal="left" vertical="top" wrapText="1"/>
    </xf>
    <xf numFmtId="0" fontId="6" fillId="24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left" vertical="top" wrapText="1"/>
    </xf>
    <xf numFmtId="0" fontId="8" fillId="25" borderId="1" applyAlignment="1" pivotButton="0" quotePrefix="0" xfId="0">
      <alignment horizontal="left" vertical="top" wrapText="1"/>
    </xf>
    <xf numFmtId="0" fontId="6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left" vertical="top" wrapText="1"/>
    </xf>
    <xf numFmtId="0" fontId="8" fillId="27" borderId="1" applyAlignment="1" pivotButton="0" quotePrefix="0" xfId="0">
      <alignment horizontal="left" vertical="top" wrapText="1"/>
    </xf>
    <xf numFmtId="0" fontId="6" fillId="28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left" vertical="top" wrapText="1"/>
    </xf>
    <xf numFmtId="0" fontId="8" fillId="29" borderId="1" applyAlignment="1" pivotButton="0" quotePrefix="0" xfId="0">
      <alignment horizontal="left" vertical="top" wrapText="1"/>
    </xf>
    <xf numFmtId="0" fontId="6" fillId="30" borderId="1" applyAlignment="1" pivotButton="0" quotePrefix="0" xfId="0">
      <alignment horizontal="center" vertical="center" wrapText="1"/>
    </xf>
    <xf numFmtId="0" fontId="7" fillId="31" borderId="1" applyAlignment="1" pivotButton="0" quotePrefix="0" xfId="0">
      <alignment horizontal="left" vertical="top" wrapText="1"/>
    </xf>
    <xf numFmtId="0" fontId="8" fillId="31" borderId="1" applyAlignment="1" pivotButton="0" quotePrefix="0" xfId="0">
      <alignment horizontal="left" vertical="top" wrapText="1"/>
    </xf>
    <xf numFmtId="0" fontId="6" fillId="32" borderId="1" applyAlignment="1" pivotButton="0" quotePrefix="0" xfId="0">
      <alignment horizontal="center" vertical="center" wrapText="1"/>
    </xf>
    <xf numFmtId="0" fontId="7" fillId="33" borderId="1" applyAlignment="1" pivotButton="0" quotePrefix="0" xfId="0">
      <alignment horizontal="left" vertical="top" wrapText="1"/>
    </xf>
    <xf numFmtId="0" fontId="8" fillId="33" borderId="1" applyAlignment="1" pivotButton="0" quotePrefix="0" xfId="0">
      <alignment horizontal="left" vertical="top" wrapText="1"/>
    </xf>
    <xf numFmtId="0" fontId="6" fillId="34" borderId="1" applyAlignment="1" pivotButton="0" quotePrefix="0" xfId="0">
      <alignment horizontal="center" vertical="center" wrapText="1"/>
    </xf>
    <xf numFmtId="0" fontId="7" fillId="35" borderId="1" applyAlignment="1" pivotButton="0" quotePrefix="0" xfId="0">
      <alignment horizontal="left" vertical="top" wrapText="1"/>
    </xf>
    <xf numFmtId="0" fontId="8" fillId="35" borderId="1" applyAlignment="1" pivotButton="0" quotePrefix="0" xfId="0">
      <alignment horizontal="left" vertical="top" wrapText="1"/>
    </xf>
    <xf numFmtId="0" fontId="6" fillId="36" borderId="1" applyAlignment="1" pivotButton="0" quotePrefix="0" xfId="0">
      <alignment horizontal="center" vertical="center" wrapText="1"/>
    </xf>
    <xf numFmtId="0" fontId="8" fillId="37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7" fillId="38" borderId="1" applyAlignment="1" pivotButton="0" quotePrefix="0" xfId="0">
      <alignment horizontal="left" vertical="top" wrapText="1"/>
    </xf>
    <xf numFmtId="0" fontId="7" fillId="37" borderId="1" applyAlignment="1" pivotButton="0" quotePrefix="0" xfId="0">
      <alignment horizontal="left" vertical="center" wrapText="1"/>
    </xf>
    <xf numFmtId="0" fontId="8" fillId="37" borderId="1" applyAlignment="1" pivotButton="0" quotePrefix="0" xfId="0">
      <alignment horizontal="left" vertical="center" wrapText="1"/>
    </xf>
    <xf numFmtId="0" fontId="7" fillId="39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40" borderId="1" applyAlignment="1" pivotButton="0" quotePrefix="0" xfId="0">
      <alignment horizontal="left" vertical="center" wrapText="1"/>
    </xf>
    <xf numFmtId="0" fontId="7" fillId="41" borderId="1" applyAlignment="1" pivotButton="0" quotePrefix="0" xfId="0">
      <alignment horizontal="left" vertical="center" wrapText="1"/>
    </xf>
    <xf numFmtId="0" fontId="9" fillId="4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4" customWidth="1" min="2" max="2"/>
    <col width="4" customWidth="1" min="3" max="3"/>
  </cols>
  <sheetData>
    <row r="1" ht="26" customHeight="1">
      <c r="A1" s="1" t="inlineStr">
        <is>
          <t>✈  MULTİCOPTER HAVA ARACI TASARIMI — LLM OTOMASYON WBS v4.0
15 Faz | 98 Görev | 13 KK | 45+ Düzeltme &amp; Ekleme
v3 üzerine: +13 yeni görev | +3 STD fix | +CI/CD fazı | Tamamen doğrulanmış</t>
        </is>
      </c>
    </row>
    <row r="2" ht="26" customHeight="1"/>
    <row r="3" ht="26" customHeight="1"/>
    <row r="4" ht="26" customHeight="1"/>
    <row r="6" ht="24" customHeight="1">
      <c r="A6" s="2" t="inlineStr">
        <is>
          <t xml:space="preserve">  v4 Yeni Görevler (13):  Dual IMU redundancy | ESC/Motor sağlık monitöring | Batarya termal monitöring | Compass-mot kompanzasyon | Log analiz pipeline | DO-178C yazılım doğrulama | Operatör eğitim+TBO | Taşıma/lojistik (IATA) | Performans zarfı | Bow-Tie+SwFMEA | CI/CD pipeline | SITL regresyon | MISRA-C statik analiz</t>
        </is>
      </c>
    </row>
    <row r="7" ht="24" customHeight="1">
      <c r="A7" s="3" t="inlineStr">
        <is>
          <t xml:space="preserve">  v4 STD Düzeltmeleri (3):  WBS 4.1+4.4: IEC 62133→IEC 62619 | WBS 8.2: DO-365→EUROCAE ED-269</t>
        </is>
      </c>
    </row>
    <row r="8" ht="24" customHeight="1">
      <c r="A8" s="2" t="inlineStr">
        <is>
          <t xml:space="preserve">  Kapsanan Eksik Konular:  Dual IMU ✅ | ESC health ✅ | Bat thermal ✅ | Compass-mot ✅ | Log pipeline ✅ | DO-178C ✅ | Operatör training ✅ | Lojistik ✅ | Perf envelope ✅ | Bow-Tie ✅ | CI/CD ✅</t>
        </is>
      </c>
    </row>
    <row r="9" ht="24" customHeight="1">
      <c r="A9" s="3" t="inlineStr">
        <is>
          <t xml:space="preserve">  Toplam Versiyon Geçmişi:  v1: 75 görev | v2: 75 görev (renkli) | v3: 85 görev (+32 fix) | v4: 98 görev (+13 new, +3 STD)</t>
        </is>
      </c>
    </row>
    <row r="10" ht="24" customHeight="1">
      <c r="A10" s="2" t="inlineStr">
        <is>
          <t xml:space="preserve">  Tüm Kalite Kapıları (13):  T/W≥2.0 | FM≥0.60 | DL≤300 | PL≥8 | t_hover≥req×1.2 | MS≥1.5 | CG≤5mm | s/D≥1.1 | BW≥10Hz | T_marj≥20% | SITL≤1° | V_max | Yaw_imb≤0.01N·m [NEW]</t>
        </is>
      </c>
    </row>
    <row r="11" ht="24" customHeight="1">
      <c r="A11" s="3" t="inlineStr">
        <is>
          <t xml:space="preserve">  Referans Standartlar:  EASA 2019/945+SC-VTOL | ASTM F3002/F3005/F3411-22a | JARUS SORA v2.5 | DO-160G | DO-178C | DO-316A | ARP4761A | IEC 62619 | MIL-HDBK-516C | ADS-33E-PRF | ISO 3744 | ISO 1940 | MISRA-C:2012 | IATA DGR | EUROCAE ED-269</t>
        </is>
      </c>
    </row>
    <row r="12" ht="24" customHeight="1">
      <c r="A12" s="2" t="inlineStr">
        <is>
          <t xml:space="preserve">  Versiyon:  v4.0 — Nisan 2026 | Kapsamlı &amp; Doğrulanmış MultiCopter WBS</t>
        </is>
      </c>
    </row>
  </sheetData>
  <mergeCells count="8">
    <mergeCell ref="A10:C10"/>
    <mergeCell ref="A1:C4"/>
    <mergeCell ref="A11:C11"/>
    <mergeCell ref="A8:C8"/>
    <mergeCell ref="A6:C6"/>
    <mergeCell ref="A9:C9"/>
    <mergeCell ref="A12:C12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4" customWidth="1" min="4" max="4"/>
    <col width="22" customWidth="1" min="5" max="5"/>
    <col width="14" customWidth="1" min="6" max="6"/>
    <col width="22" customWidth="1" min="7" max="7"/>
    <col width="28" customWidth="1" min="8" max="8"/>
    <col width="22" customWidth="1" min="9" max="9"/>
    <col width="20" customWidth="1" min="10" max="10"/>
  </cols>
  <sheetData>
    <row r="1" ht="30" customHeight="1">
      <c r="A1" s="4" t="inlineStr">
        <is>
          <t>MULTİCOPTER WBS v4.0 — 15 FAZ | 98 GÖREV | 13 KK | 🔧[TECH] 📋[STD] 🆕[NEW] etiketleri ile işaretlenmiş</t>
        </is>
      </c>
    </row>
    <row r="2" ht="26" customHeight="1">
      <c r="A2" s="5" t="inlineStr">
        <is>
          <t>WBS Kodu</t>
        </is>
      </c>
      <c r="B2" s="5" t="inlineStr">
        <is>
          <t>Faz Adı</t>
        </is>
      </c>
      <c r="C2" s="5" t="inlineStr">
        <is>
          <t>Alt Görev / Faaliyet</t>
        </is>
      </c>
      <c r="D2" s="5" t="inlineStr">
        <is>
          <t>Kullanılan Yazılım</t>
        </is>
      </c>
      <c r="E2" s="5" t="inlineStr">
        <is>
          <t>LLM Girdi</t>
        </is>
      </c>
      <c r="F2" s="5" t="inlineStr">
        <is>
          <t>Girdi Kaynağı</t>
        </is>
      </c>
      <c r="G2" s="5" t="inlineStr">
        <is>
          <t>LLM Script</t>
        </is>
      </c>
      <c r="H2" s="5" t="inlineStr">
        <is>
          <t>Beklenen Çıktı</t>
        </is>
      </c>
      <c r="I2" s="5" t="inlineStr">
        <is>
          <t>Kabul Kriteri</t>
        </is>
      </c>
      <c r="J2" s="5" t="inlineStr">
        <is>
          <t>Standart</t>
        </is>
      </c>
    </row>
    <row r="3" ht="24" customHeight="1">
      <c r="A3" s="6" t="inlineStr">
        <is>
          <t>WBS 1.0</t>
        </is>
      </c>
      <c r="B3" s="6" t="inlineStr">
        <is>
          <t>AŞAMA 1 Görev &amp; Gereksinim Analizi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</row>
    <row r="4" ht="48" customHeight="1">
      <c r="A4" s="7" t="inlineStr">
        <is>
          <t>WBS 1.1</t>
        </is>
      </c>
      <c r="B4" s="8" t="inlineStr">
        <is>
          <t>AŞAMA 1 Görev &amp; Gereksinim Ana</t>
        </is>
      </c>
      <c r="C4" s="8" t="inlineStr">
        <is>
          <t>Görev Profili &amp; Uygulama Senaryosu</t>
        </is>
      </c>
      <c r="D4" s="8" t="inlineStr">
        <is>
          <t>LLM (Python)</t>
        </is>
      </c>
      <c r="E4" s="8" t="inlineStr">
        <is>
          <t>Doğal dil görev tanımı (kargo/tarım/gözetleme/BVLOS/yarış/insansız hava taksi)</t>
        </is>
      </c>
      <c r="F4" s="8" t="inlineStr">
        <is>
          <t>Kullanıcı</t>
        </is>
      </c>
      <c r="G4" s="8" t="inlineStr">
        <is>
          <t>mission_parser.py  # NLP → structured JSON; uygulama tipi → parametre seti</t>
        </is>
      </c>
      <c r="H4" s="8" t="inlineStr">
        <is>
          <t>mission_profile.json: app_type, payload_kg, range_km, endurance_min, altitude_m, wind_bft, ops_env, flight_type</t>
        </is>
      </c>
      <c r="I4" s="8" t="inlineStr">
        <is>
          <t>Tüm görev parametreleri sayısal ve eksiksiz; belirsiz alan → LLM kullanıcıya sorar</t>
        </is>
      </c>
      <c r="J4" s="8" t="inlineStr">
        <is>
          <t>ASTM F3002-14a | ISO 21384-3 | EUROCAE ED-269</t>
        </is>
      </c>
    </row>
    <row r="5" ht="48" customHeight="1">
      <c r="A5" s="7" t="inlineStr">
        <is>
          <t>WBS 1.2</t>
        </is>
      </c>
      <c r="B5" s="8" t="inlineStr">
        <is>
          <t>AŞAMA 1 Görev &amp; Gereksinim Ana</t>
        </is>
      </c>
      <c r="C5" s="8" t="inlineStr">
        <is>
          <t>Performans Gereksinim Matrisi (PRD)</t>
        </is>
      </c>
      <c r="D5" s="8" t="inlineStr">
        <is>
          <t>LLM (Python)</t>
        </is>
      </c>
      <c r="E5" s="8" t="inlineStr">
        <is>
          <t>mission_profile.json + operasyonel kısıtlar</t>
        </is>
      </c>
      <c r="F5" s="8" t="inlineStr">
        <is>
          <t>WBS 1.1</t>
        </is>
      </c>
      <c r="G5" s="8" t="inlineStr">
        <is>
          <t>prd_sizing.py  # T/W, endurance, V_max, payload_fraction; Staufenbiel iteratif</t>
        </is>
      </c>
      <c r="H5" s="8" t="inlineStr">
        <is>
          <t>requirements.json: MTOW_kg, T_W_req≥2.0, endurance_min, V_max_ms, V_cruise_ms, redundancy</t>
        </is>
      </c>
      <c r="I5" s="8" t="inlineStr">
        <is>
          <t>T/W_req ≥ 2.0; payload_fraction ≥ 0.15; tüm değerler kaynaklandırılmış</t>
        </is>
      </c>
      <c r="J5" s="8" t="inlineStr">
        <is>
          <t>Raymer §17 | NDARC NASA/TM-2015-218751 | Staufenbiel</t>
        </is>
      </c>
    </row>
    <row r="6" ht="48" customHeight="1">
      <c r="A6" s="7" t="inlineStr">
        <is>
          <t>WBS 1.3</t>
        </is>
      </c>
      <c r="B6" s="8" t="inlineStr">
        <is>
          <t>AŞAMA 1 Görev &amp; Gereksinim Ana</t>
        </is>
      </c>
      <c r="C6" s="8" t="inlineStr">
        <is>
          <t>Mevzuat Sınıfı &amp; SORA Risk Değerlendirmesi</t>
        </is>
      </c>
      <c r="D6" s="8" t="inlineStr">
        <is>
          <t>LLM (NLP+Python)</t>
        </is>
      </c>
      <c r="E6" s="8" t="inlineStr">
        <is>
          <t>MTOW_kg + ops_env + flight_type (VLOS/BVLOS)</t>
        </is>
      </c>
      <c r="F6" s="8" t="inlineStr">
        <is>
          <t>WBS 1.1</t>
        </is>
      </c>
      <c r="G6" s="8" t="inlineStr">
        <is>
          <t>sora_assessment.py  # GRC, ARC, SAIL seviyesi; OSO ataması; operational volume</t>
        </is>
      </c>
      <c r="H6" s="8" t="inlineStr">
        <is>
          <t>regulation.json: EASA_cat, SAIL_level, GRC, ARC, OSO_list[], DO160_class, RID_required</t>
        </is>
      </c>
      <c r="I6" s="8" t="inlineStr">
        <is>
          <t>SAIL seviyesi hesaplanmış; tüm OSO'lar atanmış; RID gereksinimi belirlendi</t>
        </is>
      </c>
      <c r="J6" s="8" t="inlineStr">
        <is>
          <t>EASA (EU) 2019/945 | JARUS SORA v2.5 | FAA Part 107 | ASTM F3411-22a</t>
        </is>
      </c>
    </row>
    <row r="7" ht="48" customHeight="1">
      <c r="A7" s="9" t="inlineStr">
        <is>
          <t>WBS 1.4</t>
        </is>
      </c>
      <c r="B7" s="10" t="inlineStr">
        <is>
          <t>AŞAMA 1 Görev &amp; Gereksinim Ana</t>
        </is>
      </c>
      <c r="C7" s="10" t="inlineStr">
        <is>
          <t>Başlangıç Kütle Bütçesi (Weight Statement)</t>
        </is>
      </c>
      <c r="D7" s="10" t="inlineStr">
        <is>
          <t>LLM (Python)</t>
        </is>
      </c>
      <c r="E7" s="10" t="inlineStr">
        <is>
          <t>requirements.json: MTOW, payload, endurance</t>
        </is>
      </c>
      <c r="F7" s="10" t="inlineStr">
        <is>
          <t>WBS 1.2</t>
        </is>
      </c>
      <c r="G7" s="10" t="inlineStr">
        <is>
          <t>mass_budget.py  # TECH-FIX: kablo+bağlantı+sealant kütlesi dahil edildi
# m_misc = 0.03×MTOW (kablo/bağlantı/yapıştırıcı</t>
        </is>
      </c>
      <c r="H7" s="10" t="inlineStr">
        <is>
          <t>mass_budget.json: m_frame, m_motors, m_esc, m_battery, m_avionics, m_payload, m_cables, m_misc, m_total</t>
        </is>
      </c>
      <c r="I7" s="10" t="inlineStr">
        <is>
          <t>Σm_bileşen ≤ MTOW_kg; m_misc ≥ 0.02×MTOW dahil edilmiş; kapanış hatası &lt; 1%</t>
        </is>
      </c>
      <c r="J7" s="10" t="inlineStr">
        <is>
          <t>Staufenbiel | NDARC | Raymer §15 — [TECH: m_misc eklendi]</t>
        </is>
      </c>
    </row>
    <row r="8" ht="48" customHeight="1">
      <c r="A8" s="7" t="inlineStr">
        <is>
          <t>WBS 1.5</t>
        </is>
      </c>
      <c r="B8" s="8" t="inlineStr">
        <is>
          <t>AŞAMA 1 Görev &amp; Gereksinim Ana</t>
        </is>
      </c>
      <c r="C8" s="8" t="inlineStr">
        <is>
          <t>Trade-Off Analizi — Konfigürasyon Alternatifleri</t>
        </is>
      </c>
      <c r="D8" s="8" t="inlineStr">
        <is>
          <t>LLM (Python)</t>
        </is>
      </c>
      <c r="E8" s="8" t="inlineStr">
        <is>
          <t>requirements.json + tradeoff_criteria.json</t>
        </is>
      </c>
      <c r="F8" s="8" t="inlineStr">
        <is>
          <t>WBS 1.2+1.4</t>
        </is>
      </c>
      <c r="G8" s="8" t="inlineStr">
        <is>
          <t>tradeoff.py  # Pugh matrix: Quad/Hex/Octo × X/H/+ × Coax; ağırlıklı puan</t>
        </is>
      </c>
      <c r="H8" s="8" t="inlineStr">
        <is>
          <t>tradeoff.json: alternatives[], scores[], selected_config, justification, sensitivity_notes</t>
        </is>
      </c>
      <c r="I8" s="8" t="inlineStr">
        <is>
          <t>Seçim puanlama matrisiyle gerekçelendirilmiş; en az 3 alternatif karşılaştırılmış</t>
        </is>
      </c>
      <c r="J8" s="8" t="inlineStr">
        <is>
          <t>INCOSE SE Handbook v4 | Pugh Matrix | AHP yöntemi</t>
        </is>
      </c>
    </row>
    <row r="9" ht="24" customHeight="1">
      <c r="A9" s="11" t="inlineStr">
        <is>
          <t>WBS 2.0</t>
        </is>
      </c>
      <c r="B9" s="11" t="inlineStr">
        <is>
          <t>AŞAMA 2 Konfigürasyon &amp; 3D Geometri</t>
        </is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</row>
    <row r="10" ht="48" customHeight="1">
      <c r="A10" s="12" t="inlineStr">
        <is>
          <t>WBS 2.1</t>
        </is>
      </c>
      <c r="B10" s="13" t="inlineStr">
        <is>
          <t>AŞAMA 2 Konfigürasyon &amp; 3D Geo</t>
        </is>
      </c>
      <c r="C10" s="13" t="inlineStr">
        <is>
          <t>Rotor Sayısı &amp; Dizilim Seçimi</t>
        </is>
      </c>
      <c r="D10" s="13" t="inlineStr">
        <is>
          <t>LLM (Python karar ağacı)</t>
        </is>
      </c>
      <c r="E10" s="13" t="inlineStr">
        <is>
          <t>tradeoff.json + requirements.json</t>
        </is>
      </c>
      <c r="F10" s="13" t="inlineStr">
        <is>
          <t>WBS 1.5</t>
        </is>
      </c>
      <c r="G10" s="13" t="inlineStr">
        <is>
          <t>config_select.py  # payload&gt;5kg→hex/octo; BVLOS→n≥6; coaxial: yüksek disk loading</t>
        </is>
      </c>
      <c r="H10" s="13" t="inlineStr">
        <is>
          <t>config.json: n_rotors, layout(X/H/+/Y6), coaxial_flag, arm_fold_flag, redundancy, rotation_dirs[]</t>
        </is>
      </c>
      <c r="I10" s="13" t="inlineStr">
        <is>
          <t>Konfigürasyon gerekçeli; rotation_dirs[] CW/CCW dönüşleri atanmış (yaw dengesi)</t>
        </is>
      </c>
      <c r="J10" s="13" t="inlineStr">
        <is>
          <t>NDARC | Prouty Rotorcraft Aero | [NEW: rotation_dirs yaw torque dengesi]</t>
        </is>
      </c>
    </row>
    <row r="11" ht="48" customHeight="1">
      <c r="A11" s="12" t="inlineStr">
        <is>
          <t>WBS 2.2</t>
        </is>
      </c>
      <c r="B11" s="13" t="inlineStr">
        <is>
          <t>AŞAMA 2 Konfigürasyon &amp; 3D Geo</t>
        </is>
      </c>
      <c r="C11" s="13" t="inlineStr">
        <is>
          <t>Rotor Çapı &amp; Wheelbase Hesabı</t>
        </is>
      </c>
      <c r="D11" s="13" t="inlineStr">
        <is>
          <t>LLM (Python)</t>
        </is>
      </c>
      <c r="E11" s="13" t="inlineStr">
        <is>
          <t>config.json + MTOW_kg + DL_target</t>
        </is>
      </c>
      <c r="F11" s="13" t="inlineStr">
        <is>
          <t>WBS 2.1+1.2</t>
        </is>
      </c>
      <c r="G11" s="13" t="inlineStr">
        <is>
          <t>geometry_sizing.py  # D=2√(T_per_rot/(ρπ×DL)); WB=D×s_D×f_layout</t>
        </is>
      </c>
      <c r="H11" s="13" t="inlineStr">
        <is>
          <t>geometry.json: D_rotor_m, wheelbase_m, arm_length_m, s_D_ratio, hub_diam_m, tip_clearance_m</t>
        </is>
      </c>
      <c r="I11" s="13" t="inlineStr">
        <is>
          <t>s/D ≥ 1.1; tip_clearance_m ≥ 0.05; D_rotor ile s_D tutarlı</t>
        </is>
      </c>
      <c r="J11" s="13" t="inlineStr">
        <is>
          <t>Leishman §2 | AHS Forum 2019</t>
        </is>
      </c>
    </row>
    <row r="12" ht="48" customHeight="1">
      <c r="A12" s="14" t="inlineStr">
        <is>
          <t>WBS 2.3</t>
        </is>
      </c>
      <c r="B12" s="15" t="inlineStr">
        <is>
          <t>AŞAMA 2 Konfigürasyon &amp; 3D Geo</t>
        </is>
      </c>
      <c r="C12" s="15" t="inlineStr">
        <is>
          <t>Yaw Torque Dengesi Analizi</t>
        </is>
      </c>
      <c r="D12" s="15" t="inlineStr">
        <is>
          <t>LLM (Python)  [NEW]</t>
        </is>
      </c>
      <c r="E12" s="15" t="inlineStr">
        <is>
          <t>config.json: rotation_dirs[] + bemt.json: Q_per_rotor_Nm</t>
        </is>
      </c>
      <c r="F12" s="15" t="inlineStr">
        <is>
          <t>WBS 2.1+3.2</t>
        </is>
      </c>
      <c r="G12" s="15" t="inlineStr">
        <is>
          <t>yaw_balance.py  # ΣQ_CW = ΣQ_CCW; yaw moment imbalance &lt; eşik
# Q_yaw_imbalance = |Σ(sign_i × Q_i)| ≤ 0.01 N·m @ hover</t>
        </is>
      </c>
      <c r="H12" s="15" t="inlineStr">
        <is>
          <t>yaw_balance.json: Q_CW_Nm, Q_CCW_Nm, Q_imbalance_Nm, yaw_balanced_flag</t>
        </is>
      </c>
      <c r="I12" s="15" t="inlineStr">
        <is>
          <t>Yaw torque dengesizliği ≤ 0.01 N·m @ hover; rotation_dirs[] güncellenmiş</t>
        </is>
      </c>
      <c r="J12" s="15" t="inlineStr">
        <is>
          <t>Prouty §4 | Mahony 2012 | [NEW: multirotor yaw denge kritik kontrolü]</t>
        </is>
      </c>
    </row>
    <row r="13" ht="48" customHeight="1">
      <c r="A13" s="12" t="inlineStr">
        <is>
          <t>WBS 2.4</t>
        </is>
      </c>
      <c r="B13" s="13" t="inlineStr">
        <is>
          <t>AŞAMA 2 Konfigürasyon &amp; 3D Geo</t>
        </is>
      </c>
      <c r="C13" s="13" t="inlineStr">
        <is>
          <t>OpenVSP 3D Geometri Modeli</t>
        </is>
      </c>
      <c r="D13" s="13" t="inlineStr">
        <is>
          <t>OpenVSP 3.x Python API</t>
        </is>
      </c>
      <c r="E13" s="13" t="inlineStr">
        <is>
          <t>geometry.json + config.json</t>
        </is>
      </c>
      <c r="F13" s="13" t="inlineStr">
        <is>
          <t>WBS 2.2</t>
        </is>
      </c>
      <c r="G13" s="13" t="inlineStr">
        <is>
          <t>vsp_build.py  # Hub:POD + Kollar:FUSELAGE×n + Motor mount POD'ları
# vsp.ClearVSPModel(); hub; arms; motor_pods; vsp.Upd</t>
        </is>
      </c>
      <c r="H13" s="13" t="inlineStr">
        <is>
          <t>mc.vsp3 + mc.stl + mc.step  (Katman-1 OML)</t>
        </is>
      </c>
      <c r="I13" s="13" t="inlineStr">
        <is>
          <t>vsp.Update() hatasız; STL watertight; bileşen isimleri standart (Hub/Arm_0..n/MotorMount_i)</t>
        </is>
      </c>
      <c r="J13" s="13" t="inlineStr">
        <is>
          <t>OpenVSP NASA | MIL-HDBK-1797B</t>
        </is>
      </c>
    </row>
    <row r="14" ht="48" customHeight="1">
      <c r="A14" s="12" t="inlineStr">
        <is>
          <t>WBS 2.5</t>
        </is>
      </c>
      <c r="B14" s="13" t="inlineStr">
        <is>
          <t>AŞAMA 2 Konfigürasyon &amp; 3D Geo</t>
        </is>
      </c>
      <c r="C14" s="13" t="inlineStr">
        <is>
          <t>Kol &amp; Motor Mount Mekanik Tasarımı (CadQuery)</t>
        </is>
      </c>
      <c r="D14" s="13" t="inlineStr">
        <is>
          <t>CadQuery + LLM</t>
        </is>
      </c>
      <c r="E14" s="13" t="inlineStr">
        <is>
          <t>geometry.json + arm_sizing.json (WBS 6.1'den)</t>
        </is>
      </c>
      <c r="F14" s="13" t="inlineStr">
        <is>
          <t>WBS 2.2+6.1</t>
        </is>
      </c>
      <c r="G14" s="13" t="inlineStr">
        <is>
          <t>arm_cad.py  # CFRP boru + motor mount flanş + katlama menteşesi
# CQ: tube(D_out, t_wall, L_arm) + mount_flange(pattern_</t>
        </is>
      </c>
      <c r="H14" s="13" t="inlineStr">
        <is>
          <t>arm_design.json: D_out_mm, t_wall_mm, mount_bolt_pattern_mm, fold_hinge_type, cad_file</t>
        </is>
      </c>
      <c r="I14" s="13" t="inlineStr">
        <is>
          <t>Motor titreşim frekansı ≠ kol modal frekansı; cad_file STEP formatında</t>
        </is>
      </c>
      <c r="J14" s="13" t="inlineStr">
        <is>
          <t>MIL-HDBK-5J | ASTM D3039 | CadQuery Docs</t>
        </is>
      </c>
    </row>
    <row r="15" ht="48" customHeight="1">
      <c r="A15" s="12" t="inlineStr">
        <is>
          <t>WBS 2.6</t>
        </is>
      </c>
      <c r="B15" s="13" t="inlineStr">
        <is>
          <t>AŞAMA 2 Konfigürasyon &amp; 3D Geo</t>
        </is>
      </c>
      <c r="C15" s="13" t="inlineStr">
        <is>
          <t>İniş Takımı Geometrisi &amp; Darbe Yük Analizi</t>
        </is>
      </c>
      <c r="D15" s="13" t="inlineStr">
        <is>
          <t>LLM (Python)  [FIXED]</t>
        </is>
      </c>
      <c r="E15" s="13" t="inlineStr">
        <is>
          <t>geometry.json + mass_budget.json</t>
        </is>
      </c>
      <c r="F15" s="13" t="inlineStr">
        <is>
          <t>WBS 2.4</t>
        </is>
      </c>
      <c r="G15" s="13" t="inlineStr">
        <is>
          <t>landing_gear.py  # 1.5g dikey darbe yükü; boru burkulma; enerji absorpsiyonu
# F_impact = MTOW × g × 1.5; σ_leg = F_impa</t>
        </is>
      </c>
      <c r="H15" s="13" t="inlineStr">
        <is>
          <t>landing_gear.json: height_m, track_m, tip_clearance_m, F_impact_N, MS_leg, material</t>
        </is>
      </c>
      <c r="I15" s="13" t="inlineStr">
        <is>
          <t>MS_leg ≥ 1.5 @ 1.5g darbe; tip_clearance ≥ 0.05 m; [FIXED: FEA dahil]</t>
        </is>
      </c>
      <c r="J15" s="13" t="inlineStr">
        <is>
          <t>FAR/CS 23.473 | EASA SC-VTOL §2520 | MIL-HDBK-5J</t>
        </is>
      </c>
    </row>
    <row r="16" ht="48" customHeight="1">
      <c r="A16" s="12" t="inlineStr">
        <is>
          <t>WBS 2.7</t>
        </is>
      </c>
      <c r="B16" s="13" t="inlineStr">
        <is>
          <t>AŞAMA 2 Konfigürasyon &amp; 3D Geo</t>
        </is>
      </c>
      <c r="C16" s="13" t="inlineStr">
        <is>
          <t>CG Analizi — 3 Konfigürasyon + CG Zarfı</t>
        </is>
      </c>
      <c r="D16" s="13" t="inlineStr">
        <is>
          <t>LLM (Python)</t>
        </is>
      </c>
      <c r="E16" s="13" t="inlineStr">
        <is>
          <t>mc.vsp3 + mass_budget.json</t>
        </is>
      </c>
      <c r="F16" s="13" t="inlineStr">
        <is>
          <t>WBS 2.4+1.4</t>
        </is>
      </c>
      <c r="G16" s="13" t="inlineStr">
        <is>
          <t>cg_envelope.py  # Dolu/Yakıtsız/Yüksüz × 3 eksen; zarf hesabı</t>
        </is>
      </c>
      <c r="H16" s="13" t="inlineStr">
        <is>
          <t>cg.json: cg_x_mm, cg_y_mm, cg_z_mm, cg_deviation_mm, cg_envelope_mm, configs{}</t>
        </is>
      </c>
      <c r="I16" s="13" t="inlineStr">
        <is>
          <t>CG sapması ≤ 5 mm (tüm konfigürasyonlar); CG zarfı hesaplanmış</t>
        </is>
      </c>
      <c r="J16" s="13" t="inlineStr">
        <is>
          <t>EASA SC-VTOL §2510 | Raymer §6</t>
        </is>
      </c>
    </row>
    <row r="17" ht="48" customHeight="1">
      <c r="A17" s="12" t="inlineStr">
        <is>
          <t>WBS 2.8</t>
        </is>
      </c>
      <c r="B17" s="13" t="inlineStr">
        <is>
          <t>AŞAMA 2 Konfigürasyon &amp; 3D Geo</t>
        </is>
      </c>
      <c r="C17" s="13" t="inlineStr">
        <is>
          <t>OpenVSP Pydantic Çıktı Standardizasyonu</t>
        </is>
      </c>
      <c r="D17" s="13" t="inlineStr">
        <is>
          <t>LLM (Python/Pydantic)</t>
        </is>
      </c>
      <c r="E17" s="13" t="inlineStr">
        <is>
          <t>mc.vsp3 mass_props + geometry.json</t>
        </is>
      </c>
      <c r="F17" s="13" t="inlineStr">
        <is>
          <t>WBS 2.4-2.7</t>
        </is>
      </c>
      <c r="G17" s="13" t="inlineStr">
        <is>
          <t>parse_vsp_mc.py  # vsp mass_props → Pydantic GeometryResult</t>
        </is>
      </c>
      <c r="H17" s="13" t="inlineStr">
        <is>
          <t>phase_2_geometry.json  (validation_passed: true)</t>
        </is>
      </c>
      <c r="I17" s="13" t="inlineStr">
        <is>
          <t>validation_passed: True; yaw_balanced: True; tüm zorunlu alanlar dolu</t>
        </is>
      </c>
      <c r="J17" s="13" t="inlineStr">
        <is>
          <t>Pydantic v2 | Dahili şema</t>
        </is>
      </c>
    </row>
    <row r="18" ht="24" customHeight="1">
      <c r="A18" s="16" t="inlineStr">
        <is>
          <t>WBS 3.0</t>
        </is>
      </c>
      <c r="B18" s="16" t="inlineStr">
        <is>
          <t>AŞAMA 3 İtki Sistemi — BEMT &amp; Motor</t>
        </is>
      </c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</row>
    <row r="19" ht="48" customHeight="1">
      <c r="A19" s="17" t="inlineStr">
        <is>
          <t>WBS 3.1</t>
        </is>
      </c>
      <c r="B19" s="18" t="inlineStr">
        <is>
          <t xml:space="preserve">AŞAMA 3 İtki Sistemi — BEMT &amp; </t>
        </is>
      </c>
      <c r="C19" s="18" t="inlineStr">
        <is>
          <t>Disk Yükleme &amp; Hover Momentum Analizi</t>
        </is>
      </c>
      <c r="D19" s="18" t="inlineStr">
        <is>
          <t>LLM (Python)</t>
        </is>
      </c>
      <c r="E19" s="18" t="inlineStr">
        <is>
          <t>MTOW_kg, n_rotors, D_rotor_m, altitude_m</t>
        </is>
      </c>
      <c r="F19" s="18" t="inlineStr">
        <is>
          <t>WBS 2.2</t>
        </is>
      </c>
      <c r="G19" s="18" t="inlineStr">
        <is>
          <t>hover_momentum.py  # DL=T/A; P_ideal=T√(T/2ρA); PL=T/P_ideal; irtifa düzeltmesi dahil
# rho = rho_SSL × (1-0.0000225577×</t>
        </is>
      </c>
      <c r="H19" s="18" t="inlineStr">
        <is>
          <t>momentum.json: DL_Nm2, PL_NW, P_ideal_W, v_induced_ms, FM_target, rho_alt</t>
        </is>
      </c>
      <c r="I19" s="18" t="inlineStr">
        <is>
          <t>DL ≤ 300 N/m²; PL ≥ 8 N/W; irtifa düzeltmeli rho kullanılmış</t>
        </is>
      </c>
      <c r="J19" s="18" t="inlineStr">
        <is>
          <t>Leishman §2 | NDARC NASA/TM-2015-218751</t>
        </is>
      </c>
    </row>
    <row r="20" ht="48" customHeight="1">
      <c r="A20" s="9" t="inlineStr">
        <is>
          <t>WBS 3.2</t>
        </is>
      </c>
      <c r="B20" s="10" t="inlineStr">
        <is>
          <t xml:space="preserve">AŞAMA 3 İtki Sistemi — BEMT &amp; </t>
        </is>
      </c>
      <c r="C20" s="10" t="inlineStr">
        <is>
          <t>BEMT Pervane Analizi (Tam Glauert İterasyonu)</t>
        </is>
      </c>
      <c r="D20" s="10" t="inlineStr">
        <is>
          <t>Python BEMT / QBlade  [TECH-FIX]</t>
        </is>
      </c>
      <c r="E20" s="10" t="inlineStr">
        <is>
          <t>D_rotor, n_blades, chord_dist[], twist_dist[], airfoil_CL_CD_tables</t>
        </is>
      </c>
      <c r="F20" s="10" t="inlineStr">
        <is>
          <t>WBS 3.1</t>
        </is>
      </c>
      <c r="G20" s="10" t="inlineStr">
        <is>
          <t xml:space="preserve">bemt.py  # TECH-FIX: Glauert iteratif çözüm (sabit phi=0.05 HATASI DÜZELTİLDİ)
# Her annulusta: phi_new=atan(v_i/(Ω×r)) </t>
        </is>
      </c>
      <c r="H20" s="10" t="inlineStr">
        <is>
          <t>bemt.json: CT, CQ, CP, FM, eta_prop, RPM_hover, T_N, Q_Nm, P_W, f_tip_loss</t>
        </is>
      </c>
      <c r="I20" s="10" t="inlineStr">
        <is>
          <t>FM ≥ 0.60; Prandtl uç kaybı dahil; iterasyon konverje &lt; 1e-6</t>
        </is>
      </c>
      <c r="J20" s="10" t="inlineStr">
        <is>
          <t>Leishman §3 | JBLADE | UIUC Prop DB — [TECH: Glauert iterasyon düzeltildi]</t>
        </is>
      </c>
    </row>
    <row r="21" ht="48" customHeight="1">
      <c r="A21" s="9" t="inlineStr">
        <is>
          <t>WBS 3.3</t>
        </is>
      </c>
      <c r="B21" s="10" t="inlineStr">
        <is>
          <t xml:space="preserve">AŞAMA 3 İtki Sistemi — BEMT &amp; </t>
        </is>
      </c>
      <c r="C21" s="10" t="inlineStr">
        <is>
          <t>Ground Effect Analizi (Cheeseman-Bennett)</t>
        </is>
      </c>
      <c r="D21" s="10" t="inlineStr">
        <is>
          <t>LLM (Python)  [TECH-FIX]</t>
        </is>
      </c>
      <c r="E21" s="10" t="inlineStr">
        <is>
          <t>D_rotor_m, T_OGE_N, z_hover_m</t>
        </is>
      </c>
      <c r="F21" s="10" t="inlineStr">
        <is>
          <t>WBS 3.2</t>
        </is>
      </c>
      <c r="G21" s="10" t="inlineStr">
        <is>
          <t>ground_effect.py  # TECH-FIX: Cheeseman-Bennett formülü koda eklendi
# T_IGE/T_OGE = 1 / (1 - (D/(4z))^2)  — Cheeseman &amp;</t>
        </is>
      </c>
      <c r="H21" s="10" t="inlineStr">
        <is>
          <t>ground_effect.json: T_IGE_N, T_OGE_N, IGE_ratio, z_thresh_m, P_IGE_W</t>
        </is>
      </c>
      <c r="I21" s="10" t="inlineStr">
        <is>
          <t>IGE/OGE oranı hesaplanmış; kalkış güç bütçesi IGE ile güncellenmiş</t>
        </is>
      </c>
      <c r="J21" s="10" t="inlineStr">
        <is>
          <t>Cheeseman &amp; Bennett 1955 | Leishman §7 — [TECH: formül koda eklendi]</t>
        </is>
      </c>
    </row>
    <row r="22" ht="48" customHeight="1">
      <c r="A22" s="9" t="inlineStr">
        <is>
          <t>WBS 3.4</t>
        </is>
      </c>
      <c r="B22" s="10" t="inlineStr">
        <is>
          <t xml:space="preserve">AŞAMA 3 İtki Sistemi — BEMT &amp; </t>
        </is>
      </c>
      <c r="C22" s="10" t="inlineStr">
        <is>
          <t>Coaxial Rotor Analizi (Düzeltilmiş FM Hedefi)</t>
        </is>
      </c>
      <c r="D22" s="10" t="inlineStr">
        <is>
          <t>Python BEMT  [TECH-FIX]</t>
        </is>
      </c>
      <c r="E22" s="10" t="inlineStr">
        <is>
          <t>config.json: coaxial_flag=True; üst/alt rotor geometrisi</t>
        </is>
      </c>
      <c r="F22" s="10" t="inlineStr">
        <is>
          <t>WBS 3.2</t>
        </is>
      </c>
      <c r="G22" s="10" t="inlineStr">
        <is>
          <t>coax_bemt.py  # Alt rotor inflow: v_i_lower = v_i_upper × k_int (k_int≈1.25)
# TECH-FIX: Coaxial FM hedefi 0.60-0.65 (0.</t>
        </is>
      </c>
      <c r="H22" s="10" t="inlineStr">
        <is>
          <t>coax.json: T_upper_N, T_lower_N, FM_coax, k_interference, P_coax_W</t>
        </is>
      </c>
      <c r="I22" s="10" t="inlineStr">
        <is>
          <t>Coaxial FM ≥ 0.60 (Leishman Fig 8.17 referans); k_int ≈ 1.25</t>
        </is>
      </c>
      <c r="J22" s="10" t="inlineStr">
        <is>
          <t>Leishman §8 | Prouty §4 — [TECH: FM_coax hedefi 0.55→0.60 düzeltildi]</t>
        </is>
      </c>
    </row>
    <row r="23" ht="48" customHeight="1">
      <c r="A23" s="9" t="inlineStr">
        <is>
          <t>WBS 3.5</t>
        </is>
      </c>
      <c r="B23" s="10" t="inlineStr">
        <is>
          <t xml:space="preserve">AŞAMA 3 İtki Sistemi — BEMT &amp; </t>
        </is>
      </c>
      <c r="C23" s="10" t="inlineStr">
        <is>
          <t>Pervane Seçimi &amp; Motor-Pervane Eşleştirme Opt.</t>
        </is>
      </c>
      <c r="D23" s="10" t="inlineStr">
        <is>
          <t>LLM (Python)+UIUC DB  [TECH-FIX]</t>
        </is>
      </c>
      <c r="E23" s="10" t="inlineStr">
        <is>
          <t>bemt.json + D_rotor + RPM_hover + V_battery + I_hover_A</t>
        </is>
      </c>
      <c r="F23" s="10" t="inlineStr">
        <is>
          <t>WBS 3.2+4.1</t>
        </is>
      </c>
      <c r="G23" s="10" t="inlineStr">
        <is>
          <t xml:space="preserve">prop_match.py  # TECH-FIX: Yüklü KV modeli
# KV_ideal = RPM_hover / V_batt  (boş yük)
# KV_loaded = RPM_hover / (V_batt </t>
        </is>
      </c>
      <c r="H23" s="10" t="inlineStr">
        <is>
          <t>propeller.json: model, D_m, pitch_m, n_blades, CT, CP, RPM_nom, KV_required_loaded</t>
        </is>
      </c>
      <c r="I23" s="10" t="inlineStr">
        <is>
          <t>KV_loaded ile motor seçimi; statik thrust ≥ T_hover × 1.2</t>
        </is>
      </c>
      <c r="J23" s="10" t="inlineStr">
        <is>
          <t>UIUC Prop DB | APC | T-Motor — [TECH: yüklü KV formülü düzeltildi]</t>
        </is>
      </c>
    </row>
    <row r="24" ht="48" customHeight="1">
      <c r="A24" s="9" t="inlineStr">
        <is>
          <t>WBS 3.6</t>
        </is>
      </c>
      <c r="B24" s="10" t="inlineStr">
        <is>
          <t xml:space="preserve">AŞAMA 3 İtki Sistemi — BEMT &amp; </t>
        </is>
      </c>
      <c r="C24" s="10" t="inlineStr">
        <is>
          <t>BLDC Motor Seçimi &amp; Tork-Güç Doğrulama</t>
        </is>
      </c>
      <c r="D24" s="10" t="inlineStr">
        <is>
          <t>LLM (Python+Spec)</t>
        </is>
      </c>
      <c r="E24" s="10" t="inlineStr">
        <is>
          <t>propeller.json + V_battery + eta_motor_min + R_int_motor</t>
        </is>
      </c>
      <c r="F24" s="10" t="inlineStr">
        <is>
          <t>WBS 3.5+4.1</t>
        </is>
      </c>
      <c r="G24" s="10" t="inlineStr">
        <is>
          <t>motor_select.py  # Q_prop=CP×ρ×n²×D⁵/(2π); P_shaft=Q×Ω
# TECH-FIX: R_int dahil yüklü gerilim: V_loaded=V_batt-I×R_int</t>
        </is>
      </c>
      <c r="H24" s="10" t="inlineStr">
        <is>
          <t>motor.json: model, KV, P_max_W, Q_max_Nm, R_int_Ohm, eta_motor, weight_g, Tmax_C</t>
        </is>
      </c>
      <c r="I24" s="10" t="inlineStr">
        <is>
          <t>eta_motor ≥ 0.85; R_int &lt; 0.1 Ω; termal marj ≥ 20% altında T_max</t>
        </is>
      </c>
      <c r="J24" s="10" t="inlineStr">
        <is>
          <t>T-Motor/Dualsky datasheets | [TECH: R_int yüklü model]</t>
        </is>
      </c>
    </row>
    <row r="25" ht="48" customHeight="1">
      <c r="A25" s="9" t="inlineStr">
        <is>
          <t>WBS 3.7</t>
        </is>
      </c>
      <c r="B25" s="10" t="inlineStr">
        <is>
          <t xml:space="preserve">AŞAMA 3 İtki Sistemi — BEMT &amp; </t>
        </is>
      </c>
      <c r="C25" s="10" t="inlineStr">
        <is>
          <t>ESC Seçimi &amp; Akım Doğrulama</t>
        </is>
      </c>
      <c r="D25" s="10" t="inlineStr">
        <is>
          <t>LLM (Spec Parser)  [TECH-FIX]</t>
        </is>
      </c>
      <c r="E25" s="10" t="inlineStr">
        <is>
          <t>motor.json: I_max_A, P_max_W + kalkış profili</t>
        </is>
      </c>
      <c r="F25" s="10" t="inlineStr">
        <is>
          <t>WBS 3.6</t>
        </is>
      </c>
      <c r="G25" s="10" t="inlineStr">
        <is>
          <t>esc_select.py  # TECH-FIX: Hem sürekli hem burst akım kontrolü
# I_kalkış = T_max / (KV × V_batt × eta_mot) × 1.5  (burs</t>
        </is>
      </c>
      <c r="H25" s="10" t="inlineStr">
        <is>
          <t>esc.json: model, I_cont_A, I_burst_A, I_burst_duration_s, protocol, BEC, weight_g</t>
        </is>
      </c>
      <c r="I25" s="10" t="inlineStr">
        <is>
          <t>I_cont ≥ 1.25×I_hover; I_burst ≥ 1.10×I_kalkış; protokol DSHOT600</t>
        </is>
      </c>
      <c r="J25" s="10" t="inlineStr">
        <is>
          <t>PX4 Hardware Std. | BLHeli_32 | [TECH: burst akım kontrolü eklendi]</t>
        </is>
      </c>
    </row>
    <row r="26" ht="48" customHeight="1">
      <c r="A26" s="17" t="inlineStr">
        <is>
          <t>WBS 3.8</t>
        </is>
      </c>
      <c r="B26" s="18" t="inlineStr">
        <is>
          <t xml:space="preserve">AŞAMA 3 İtki Sistemi — BEMT &amp; </t>
        </is>
      </c>
      <c r="C26" s="18" t="inlineStr">
        <is>
          <t>Pervane Statik &amp; Dinamik Balans Prosedürü</t>
        </is>
      </c>
      <c r="D26" s="18" t="inlineStr">
        <is>
          <t>LLM (Prosedür üretimi)</t>
        </is>
      </c>
      <c r="E26" s="18" t="inlineStr">
        <is>
          <t>propeller.json + RPM_hover + rotor_mass_g</t>
        </is>
      </c>
      <c r="F26" s="18" t="inlineStr">
        <is>
          <t>WBS 3.5</t>
        </is>
      </c>
      <c r="G26" s="18" t="inlineStr">
        <is>
          <t>balance_proc.py  # ISO 1940 G1 sınıfı; balanssızlık limiti U_perm = e × m
# e_perm (G1) = 9549 × G1_grade / RPM_max mm/s</t>
        </is>
      </c>
      <c r="H26" s="18" t="inlineStr">
        <is>
          <t>balance_procedure.md + balance_target.json: G_class, e_perm_mm, U_perm_g_mm, planes</t>
        </is>
      </c>
      <c r="I26" s="18" t="inlineStr">
        <is>
          <t>1P titreşim ≤ 0.05 g; U_perm ISO 1940 G1 karşılanmış</t>
        </is>
      </c>
      <c r="J26" s="18" t="inlineStr">
        <is>
          <t>ISO 1940-1 G1 | PX4 Vibration Guide</t>
        </is>
      </c>
    </row>
    <row r="27" ht="48" customHeight="1">
      <c r="A27" s="17" t="inlineStr">
        <is>
          <t>WBS 3.9</t>
        </is>
      </c>
      <c r="B27" s="18" t="inlineStr">
        <is>
          <t xml:space="preserve">AŞAMA 3 İtki Sistemi — BEMT &amp; </t>
        </is>
      </c>
      <c r="C27" s="18" t="inlineStr">
        <is>
          <t>İtki Zinciri Sistem Doğrulama &amp; T/W</t>
        </is>
      </c>
      <c r="D27" s="18" t="inlineStr">
        <is>
          <t>LLM (Python)</t>
        </is>
      </c>
      <c r="E27" s="18" t="inlineStr">
        <is>
          <t>motor+esc+propeller+mass_budget+yaw_balance</t>
        </is>
      </c>
      <c r="F27" s="18" t="inlineStr">
        <is>
          <t>WBS 3.6-3.7+2.3</t>
        </is>
      </c>
      <c r="G27" s="18" t="inlineStr">
        <is>
          <t>thrust_verify.py  # T_total=n×T_rot; TW=T/(MTOW×g); yaw imbalance dahil</t>
        </is>
      </c>
      <c r="H27" s="18" t="inlineStr">
        <is>
          <t>thrust_chain.json: T_total_N, TW_ratio, P_total_hover_W, sys_efficiency, yaw_balanced</t>
        </is>
      </c>
      <c r="I27" s="18" t="inlineStr">
        <is>
          <t>T/W ≥ 2.0; sys_efficiency ≥ 0.70; yaw_balanced: True (KK-1)</t>
        </is>
      </c>
      <c r="J27" s="18" t="inlineStr">
        <is>
          <t>NDARC | MIL-HDBK-516C §15</t>
        </is>
      </c>
    </row>
    <row r="28" ht="24" customHeight="1">
      <c r="A28" s="19" t="inlineStr">
        <is>
          <t>WBS 4.0</t>
        </is>
      </c>
      <c r="B28" s="19" t="inlineStr">
        <is>
          <t>AŞAMA 4 Güç &amp; Enerji Sistemi</t>
        </is>
      </c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</row>
    <row r="29" ht="48" customHeight="1">
      <c r="A29" s="20" t="inlineStr">
        <is>
          <t>WBS 4.1</t>
        </is>
      </c>
      <c r="B29" s="21" t="inlineStr">
        <is>
          <t>AŞAMA 4 Güç &amp; Enerji Sistemi</t>
        </is>
      </c>
      <c r="C29" s="21" t="inlineStr">
        <is>
          <t>Batarya Teknoloji Seçimi &amp; Trade-Off</t>
        </is>
      </c>
      <c r="D29" s="21" t="inlineStr">
        <is>
          <t>LLM (Python)</t>
        </is>
      </c>
      <c r="E29" s="21" t="inlineStr">
        <is>
          <t>endurance_min, P_hover_W, MTOW_kg, ops_temp_C</t>
        </is>
      </c>
      <c r="F29" s="21" t="inlineStr">
        <is>
          <t>WBS 1.2+3.9</t>
        </is>
      </c>
      <c r="G29" s="21" t="inlineStr">
        <is>
          <t>battery_chem.py  # LiPo/Li-Ion/LiFePO4 Wh/kg×C-rate×sıcaklık trade
# LiPo: 180-220 Wh/kg, 25C cont; Li-Ion: 200-260 Wh/k</t>
        </is>
      </c>
      <c r="H29" s="21" t="inlineStr">
        <is>
          <t>battery_chem.json: chemistry, Wh_kg, C_rate_cont, C_rate_burst, T_min_C, T_max_C</t>
        </is>
      </c>
      <c r="I29" s="21" t="inlineStr">
        <is>
          <t>Wh/kg ≥ 180; C_rate_cont ≥ hover_C_rate; sıcaklık aralığı ops ile uyumlu</t>
        </is>
      </c>
      <c r="J29" s="21" t="inlineStr">
        <is>
          <t>ASTM F3005-14a | IEC 62619 | UN 38.3 | DO-311A — [STD: IEC 62619→62619]</t>
        </is>
      </c>
    </row>
    <row r="30" ht="48" customHeight="1">
      <c r="A30" s="22" t="inlineStr">
        <is>
          <t>WBS 4.2</t>
        </is>
      </c>
      <c r="B30" s="23" t="inlineStr">
        <is>
          <t>AŞAMA 4 Güç &amp; Enerji Sistemi</t>
        </is>
      </c>
      <c r="C30" s="23" t="inlineStr">
        <is>
          <t>Batarya Kapasite &amp; S/P Konfigürasyonu</t>
        </is>
      </c>
      <c r="D30" s="23" t="inlineStr">
        <is>
          <t>LLM (Python)</t>
        </is>
      </c>
      <c r="E30" s="23" t="inlineStr">
        <is>
          <t>battery_chem.json + P_hover_W + endurance_min</t>
        </is>
      </c>
      <c r="F30" s="23" t="inlineStr">
        <is>
          <t>WBS 4.1+3.9</t>
        </is>
      </c>
      <c r="G30" s="23" t="inlineStr">
        <is>
          <t>battery_size.py  # E_req=P_hover×t/η_batt; C_mAh=E_Wh/V_nom×1000
# Peukert kaybı: C_eff = C_nom × (I_nom/I_hover)^(n_Peu</t>
        </is>
      </c>
      <c r="H30" s="23" t="inlineStr">
        <is>
          <t>battery.json: S, P, V_nom, C_mAh, E_Wh, C_nom_mAh, weight_kg, discharge_C</t>
        </is>
      </c>
      <c r="I30" s="23" t="inlineStr">
        <is>
          <t>t_hover ≥ endurance_min × 1.2; rezerv ≥ %20; Peukert dahil (KK-3)</t>
        </is>
      </c>
      <c r="J30" s="23" t="inlineStr">
        <is>
          <t>ASTM F3005 | FAA AC 20-184</t>
        </is>
      </c>
    </row>
    <row r="31" ht="48" customHeight="1">
      <c r="A31" s="14" t="inlineStr">
        <is>
          <t>WBS 4.3</t>
        </is>
      </c>
      <c r="B31" s="15" t="inlineStr">
        <is>
          <t>AŞAMA 4 Güç &amp; Enerji Sistemi</t>
        </is>
      </c>
      <c r="C31" s="15" t="inlineStr">
        <is>
          <t>Şarj Sistemi &amp; Balans Şarj Prosedürü</t>
        </is>
      </c>
      <c r="D31" s="15" t="inlineStr">
        <is>
          <t>LLM (Python)  [NEW]</t>
        </is>
      </c>
      <c r="E31" s="15" t="inlineStr">
        <is>
          <t>battery.json: S, C_mAh, chemistry</t>
        </is>
      </c>
      <c r="F31" s="15" t="inlineStr">
        <is>
          <t>WBS 4.2</t>
        </is>
      </c>
      <c r="G31" s="15" t="inlineStr">
        <is>
          <t xml:space="preserve">charger_design.py  # CC-CV şarj profili; balans şarj toleransı ΔV &lt; 5mV
# Hızlı şarj: C_rate_charge ≤ 2C (LiPo güvenlik </t>
        </is>
      </c>
      <c r="H31" s="15" t="inlineStr">
        <is>
          <t>charger.json: charge_rate_C, balance_dV_mV, storage_V_cell, charge_time_min, charger_model</t>
        </is>
      </c>
      <c r="I31" s="15" t="inlineStr">
        <is>
          <t>ΔV_balance ≤ 5 mV; şarj hızı ≤ 2C; depolama voltajı 3.8 V/hücre</t>
        </is>
      </c>
      <c r="J31" s="15" t="inlineStr">
        <is>
          <t>IEC 62619 | UN 38.3 | LiPo Güvenlik Rehberi — [NEW]</t>
        </is>
      </c>
    </row>
    <row r="32" ht="48" customHeight="1">
      <c r="A32" s="20" t="inlineStr">
        <is>
          <t>WBS 4.4</t>
        </is>
      </c>
      <c r="B32" s="21" t="inlineStr">
        <is>
          <t>AŞAMA 4 Güç &amp; Enerji Sistemi</t>
        </is>
      </c>
      <c r="C32" s="21" t="inlineStr">
        <is>
          <t>BMS (Batarya Yönetim Sistemi) Tasarımı</t>
        </is>
      </c>
      <c r="D32" s="21" t="inlineStr">
        <is>
          <t>LLM (Spec Parser)</t>
        </is>
      </c>
      <c r="E32" s="21" t="inlineStr">
        <is>
          <t>battery.json: S, I_max_A</t>
        </is>
      </c>
      <c r="F32" s="21" t="inlineStr">
        <is>
          <t>WBS 4.2</t>
        </is>
      </c>
      <c r="G32" s="21" t="inlineStr">
        <is>
          <t>bms_design.py  # OVP/UVP/OCP/OTP/SCP; pasif/aktif balans; comm arayüzü
# OVP=4.20V±0.05, UVP=3.00V±0.05, OCP=I_max×1.1</t>
        </is>
      </c>
      <c r="H32" s="21" t="inlineStr">
        <is>
          <t>bms.json: OVP_V, UVP_V, OCP_A, OTP_C, SCP_flag, balance_type, comm, weight_g</t>
        </is>
      </c>
      <c r="I32" s="21" t="inlineStr">
        <is>
          <t>Tüm 5 koruma fonksiyonu aktif; balance_type: active veya passive</t>
        </is>
      </c>
      <c r="J32" s="21" t="inlineStr">
        <is>
          <t>IEC 62619 | UN 38.3 | RTCA DO-311A — [STD: IEC 62619→62619 düzeltildi]</t>
        </is>
      </c>
    </row>
    <row r="33" ht="48" customHeight="1">
      <c r="A33" s="22" t="inlineStr">
        <is>
          <t>WBS 4.5</t>
        </is>
      </c>
      <c r="B33" s="23" t="inlineStr">
        <is>
          <t>AŞAMA 4 Güç &amp; Enerji Sistemi</t>
        </is>
      </c>
      <c r="C33" s="23" t="inlineStr">
        <is>
          <t>Güç Dağıtım Kartı (PDB) &amp; Kablolama</t>
        </is>
      </c>
      <c r="D33" s="23" t="inlineStr">
        <is>
          <t>LLM (Python+Spec)</t>
        </is>
      </c>
      <c r="E33" s="23" t="inlineStr">
        <is>
          <t>thrust_chain.json + avionics_power_W</t>
        </is>
      </c>
      <c r="F33" s="23" t="inlineStr">
        <is>
          <t>WBS 3.9+7.1</t>
        </is>
      </c>
      <c r="G33" s="23" t="inlineStr">
        <is>
          <t>pdb_size.py  # I_PDB=Σ(n×I_mot+avionics); AWG: I_max/A_mm2≤3A/mm2
# Güvenlik: I_PDB ≥ I_total×1.30; sigorta: I_fuse=I_PD</t>
        </is>
      </c>
      <c r="H33" s="23" t="inlineStr">
        <is>
          <t>pdb.json: I_rating_A, V_max, BEC_5V, BEC_12V, AWG, fuse_A, weight_g</t>
        </is>
      </c>
      <c r="I33" s="23" t="inlineStr">
        <is>
          <t>I_PDB ≥ I_total×1.30; kablo AWG hesaplanmış; sigorta değeri belirlenmiş</t>
        </is>
      </c>
      <c r="J33" s="23" t="inlineStr">
        <is>
          <t>IEC 60364-7-712 | DO-160G §16</t>
        </is>
      </c>
    </row>
    <row r="34" ht="48" customHeight="1">
      <c r="A34" s="20" t="inlineStr">
        <is>
          <t>WBS 4.6</t>
        </is>
      </c>
      <c r="B34" s="21" t="inlineStr">
        <is>
          <t>AŞAMA 4 Güç &amp; Enerji Sistemi</t>
        </is>
      </c>
      <c r="C34" s="21" t="inlineStr">
        <is>
          <t>EMI/EMC Analizi &amp; Gürültü Azaltma</t>
        </is>
      </c>
      <c r="D34" s="21" t="inlineStr">
        <is>
          <t>LLM (Python)</t>
        </is>
      </c>
      <c r="E34" s="21" t="inlineStr">
        <is>
          <t>motor.json: RPM_max + esc.json: switching_freq + GPS/IMU konumları</t>
        </is>
      </c>
      <c r="F34" s="21" t="inlineStr">
        <is>
          <t>WBS 3.6+4.5</t>
        </is>
      </c>
      <c r="G34" s="21" t="inlineStr">
        <is>
          <t>emi_analysis.py  # ESC switching harmonikleri (f_sw × 1..5)
# GPS L1=1575.42 MHz ayrıştırma; ferrit boncuk + kalkan tasa</t>
        </is>
      </c>
      <c r="H34" s="21" t="inlineStr">
        <is>
          <t>emi.json: switching_harmonics_Hz[], GPS_SNR_dB, GPS_separation_mm, shielding_type</t>
        </is>
      </c>
      <c r="I34" s="21" t="inlineStr">
        <is>
          <t>GPS SNR ≥ 35 dB; ESC→GPS bant ayrımı ≥ 100 MHz; kalkan belirlenmiş</t>
        </is>
      </c>
      <c r="J34" s="21" t="inlineStr">
        <is>
          <t>DO-160G §21 | RTCA DO-316A | FCC Part 15 — [STD: DO-316→DO-316A]</t>
        </is>
      </c>
    </row>
    <row r="35" ht="48" customHeight="1">
      <c r="A35" s="22" t="inlineStr">
        <is>
          <t>WBS 4.7</t>
        </is>
      </c>
      <c r="B35" s="23" t="inlineStr">
        <is>
          <t>AŞAMA 4 Güç &amp; Enerji Sistemi</t>
        </is>
      </c>
      <c r="C35" s="23" t="inlineStr">
        <is>
          <t>Enerji Yönetimi &amp; Uçuş Süresi Tahmini</t>
        </is>
      </c>
      <c r="D35" s="23" t="inlineStr">
        <is>
          <t>LLM (Python)</t>
        </is>
      </c>
      <c r="E35" s="23" t="inlineStr">
        <is>
          <t>battery.json + thrust_chain.json + fwd_flight.json</t>
        </is>
      </c>
      <c r="F35" s="23" t="inlineStr">
        <is>
          <t>WBS 4.2+3.9+5.3</t>
        </is>
      </c>
      <c r="G35" s="23" t="inlineStr">
        <is>
          <t>endurance.py  # P(v)=P_hover+P_parasitic(v²); Peukert kaybı
# t_max = E_usable / P_avg; reserve = E_total × 0.20</t>
        </is>
      </c>
      <c r="H35" s="23" t="inlineStr">
        <is>
          <t>energy_budget.json: t_hover_min, t_cruise_min, range_km, reserve_pct, E_usable_Wh</t>
        </is>
      </c>
      <c r="I35" s="23" t="inlineStr">
        <is>
          <t>t_hover ≥ endurance_min; rezerv ≥ %20; Peukert dahil</t>
        </is>
      </c>
      <c r="J35" s="23" t="inlineStr">
        <is>
          <t>NDARC §4 | Peukert modeli</t>
        </is>
      </c>
    </row>
    <row r="36" ht="48" customHeight="1">
      <c r="A36" s="14" t="inlineStr">
        <is>
          <t>WBS 4.8</t>
        </is>
      </c>
      <c r="B36" s="15" t="inlineStr">
        <is>
          <t>AŞAMA 4 Güç &amp; Enerji Sistemi</t>
        </is>
      </c>
      <c r="C36" s="15" t="inlineStr">
        <is>
          <t>Batarya Termal Monitöring &amp; Güvenli Deşarj Yönetimi  [NEW-v4]</t>
        </is>
      </c>
      <c r="D36" s="15" t="inlineStr">
        <is>
          <t>LLM (Python) + BMS sensör</t>
        </is>
      </c>
      <c r="E36" s="15" t="inlineStr">
        <is>
          <t>battery.json: S, C_mAh, chemistry + motor.json: I_max_A + ops_temp_C</t>
        </is>
      </c>
      <c r="F36" s="15" t="inlineStr">
        <is>
          <t>WBS 4.2 + WBS 3.6</t>
        </is>
      </c>
      <c r="G36" s="15" t="inlineStr">
        <is>
          <t xml:space="preserve">bat_thermal.py  # Hücre sıcaklık sensörü: T_cell ≤ T_max - margin
# Termal model: T_cell = T_amb + I²×R_int×R_th_cell
# </t>
        </is>
      </c>
      <c r="H36" s="15" t="inlineStr">
        <is>
          <t>bat_thermal.json: T_cell_max_C, T_warn_C, T_cutoff_C, I_derate_curve[], OTA_fw_version</t>
        </is>
      </c>
      <c r="I36" s="15" t="inlineStr">
        <is>
          <t>T_cell ≤ T_max - 10°C @ max deşarj; uyarı seviyeleri 3 kademeli tanımlanmış</t>
        </is>
      </c>
      <c r="J36" s="15" t="inlineStr">
        <is>
          <t>IEC 62619 §7 | UN 38.3 §38.3.4 | RTCA DO-311A §2.4  [STD-FIX: IEC 62133→62619]</t>
        </is>
      </c>
    </row>
    <row r="37" ht="24" customHeight="1">
      <c r="A37" s="24" t="inlineStr">
        <is>
          <t>WBS 5.0</t>
        </is>
      </c>
      <c r="B37" s="24" t="inlineStr">
        <is>
          <t>AŞAMA 5 Aerodinamik &amp; Rotor Dinamiği</t>
        </is>
      </c>
      <c r="C37" s="24" t="inlineStr"/>
      <c r="D37" s="24" t="inlineStr"/>
      <c r="E37" s="24" t="inlineStr"/>
      <c r="F37" s="24" t="inlineStr"/>
      <c r="G37" s="24" t="inlineStr"/>
      <c r="H37" s="24" t="inlineStr"/>
      <c r="I37" s="24" t="inlineStr"/>
      <c r="J37" s="24" t="inlineStr"/>
    </row>
    <row r="38" ht="48" customHeight="1">
      <c r="A38" s="25" t="inlineStr">
        <is>
          <t>WBS 5.1</t>
        </is>
      </c>
      <c r="B38" s="26" t="inlineStr">
        <is>
          <t>AŞAMA 5 Aerodinamik &amp; Rotor Di</t>
        </is>
      </c>
      <c r="C38" s="26" t="inlineStr">
        <is>
          <t>Düşük Re Airfoil Analizi (Pervane Profili)</t>
        </is>
      </c>
      <c r="D38" s="26" t="inlineStr">
        <is>
          <t>NeuralFoil / XFoil</t>
        </is>
      </c>
      <c r="E38" s="26" t="inlineStr">
        <is>
          <t>airfoil.dat + Re_tip_range + Mach_tip</t>
        </is>
      </c>
      <c r="F38" s="26" t="inlineStr">
        <is>
          <t>WBS 3.2</t>
        </is>
      </c>
      <c r="G38" s="26" t="inlineStr">
        <is>
          <t>airfoil_analysis.py  # Re_tip=ρ×V_tip×c_tip/μ; NeuralFoil polar 5 Re noktası
# V_tip=Ω×R; Mach_tip=V_tip/a (kompresibili</t>
        </is>
      </c>
      <c r="H38" s="26" t="inlineStr">
        <is>
          <t>airfoil.json: CL_alpha, CD_min, CL_max, LD_max, Re_tip, stall_alpha_deg</t>
        </is>
      </c>
      <c r="I38" s="26" t="inlineStr">
        <is>
          <t>CD_min ≤ 0.015; L/D_max ≥ 15; Mach_tip &lt; 0.7 (kompresibilite sınırı)</t>
        </is>
      </c>
      <c r="J38" s="26" t="inlineStr">
        <is>
          <t>UIUC Airfoil DB | NeuralFoil | Abbott &amp; von Doenhoff</t>
        </is>
      </c>
    </row>
    <row r="39" ht="48" customHeight="1">
      <c r="A39" s="25" t="inlineStr">
        <is>
          <t>WBS 5.2</t>
        </is>
      </c>
      <c r="B39" s="26" t="inlineStr">
        <is>
          <t>AŞAMA 5 Aerodinamik &amp; Rotor Di</t>
        </is>
      </c>
      <c r="C39" s="26" t="inlineStr">
        <is>
          <t>Rotor-Rotor Aerodinamik Etkileşim</t>
        </is>
      </c>
      <c r="D39" s="26" t="inlineStr">
        <is>
          <t>AeroSandbox / Python</t>
        </is>
      </c>
      <c r="E39" s="26" t="inlineStr">
        <is>
          <t>geometry.json: s_D_ratio + RPM_hover + D_rotor</t>
        </is>
      </c>
      <c r="F39" s="26" t="inlineStr">
        <is>
          <t>WBS 2.2+3.2</t>
        </is>
      </c>
      <c r="G39" s="26" t="inlineStr">
        <is>
          <t>rotor_interact.py  # Momentum overlap: Δη = f(s/D); Lerche 2015 fit
# η_int = 1 - 0.15×exp(-3.5×(s/D - 1))</t>
        </is>
      </c>
      <c r="H39" s="26" t="inlineStr">
        <is>
          <t>interaction.json: efficiency_loss_pct, effective_FM, downwash_ms, s_D_ratio</t>
        </is>
      </c>
      <c r="I39" s="26" t="inlineStr">
        <is>
          <t>Etkileşim kaybı ≤ %8; s/D ≥ 1.1 (KK-8)</t>
        </is>
      </c>
      <c r="J39" s="26" t="inlineStr">
        <is>
          <t>Leishman §5 | Lerche 2015 | AHS Forum</t>
        </is>
      </c>
    </row>
    <row r="40" ht="48" customHeight="1">
      <c r="A40" s="25" t="inlineStr">
        <is>
          <t>WBS 5.3</t>
        </is>
      </c>
      <c r="B40" s="26" t="inlineStr">
        <is>
          <t>AŞAMA 5 Aerodinamik &amp; Rotor Di</t>
        </is>
      </c>
      <c r="C40" s="26" t="inlineStr">
        <is>
          <t>İleri Uçuş Trim &amp; Güç Analizi</t>
        </is>
      </c>
      <c r="D40" s="26" t="inlineStr">
        <is>
          <t>Python BEMT+AeroSandbox</t>
        </is>
      </c>
      <c r="E40" s="26" t="inlineStr">
        <is>
          <t>thrust_chain.json + geometry.json + V_cruise_ms</t>
        </is>
      </c>
      <c r="F40" s="26" t="inlineStr">
        <is>
          <t>WBS 3.9+5.1</t>
        </is>
      </c>
      <c r="G40" s="26" t="inlineStr">
        <is>
          <t>fwd_flight.py  # θ=atan(D_par/W); P_fwd=T×V_sin(θ)+P_ind_fwd
# D_par: gövde+kol paralel sürüklemesi; P_ind_fwd = T²/(2ρA</t>
        </is>
      </c>
      <c r="H40" s="26" t="inlineStr">
        <is>
          <t>fwd_flight.json: tilt_deg, P_cruise_W, V_trim_ms, D_parasite_N, LD_eff</t>
        </is>
      </c>
      <c r="I40" s="26" t="inlineStr">
        <is>
          <t>Tilt ≤ 30°; P_cruise ≤ P_hover × 0.85; D_parasite hesaplanmış</t>
        </is>
      </c>
      <c r="J40" s="26" t="inlineStr">
        <is>
          <t>Prouty §4 | Bramwell Helicopter Dynamics</t>
        </is>
      </c>
    </row>
    <row r="41" ht="48" customHeight="1">
      <c r="A41" s="25" t="inlineStr">
        <is>
          <t>WBS 5.4</t>
        </is>
      </c>
      <c r="B41" s="26" t="inlineStr">
        <is>
          <t>AŞAMA 5 Aerodinamik &amp; Rotor Di</t>
        </is>
      </c>
      <c r="C41" s="26" t="inlineStr">
        <is>
          <t>Rüzgar Gustu Tepki Analizi</t>
        </is>
      </c>
      <c r="D41" s="26" t="inlineStr">
        <is>
          <t>LLM (Python+scipy)</t>
        </is>
      </c>
      <c r="E41" s="26" t="inlineStr">
        <is>
          <t>dynamics.json + controller.json + wind_spectrum</t>
        </is>
      </c>
      <c r="F41" s="26" t="inlineStr">
        <is>
          <t>WBS 7.1+7.3</t>
        </is>
      </c>
      <c r="G41" s="26" t="inlineStr">
        <is>
          <t>gust_response.py  # 1-cosine gust (Dryden spektrumu); pozisyon/attitude dev.
# H∞ norm: ||T_zw||∞ ≤ γ; gust rejection ba</t>
        </is>
      </c>
      <c r="H41" s="26" t="inlineStr">
        <is>
          <t>gust.json: pos_dev_max_m, att_dev_max_deg, recovery_s, gust_rejection_dB</t>
        </is>
      </c>
      <c r="I41" s="26" t="inlineStr">
        <is>
          <t>Gust sonrası pos sapma ≤ 2 m; toparlanma ≤ 5 s</t>
        </is>
      </c>
      <c r="J41" s="26" t="inlineStr">
        <is>
          <t>MIL-SPEC-8785C | Dryden PSD | DEF-STAN 00-970</t>
        </is>
      </c>
    </row>
    <row r="42" ht="48" customHeight="1">
      <c r="A42" s="25" t="inlineStr">
        <is>
          <t>WBS 5.5</t>
        </is>
      </c>
      <c r="B42" s="26" t="inlineStr">
        <is>
          <t>AŞAMA 5 Aerodinamik &amp; Rotor Di</t>
        </is>
      </c>
      <c r="C42" s="26" t="inlineStr">
        <is>
          <t>Ground Effect İleri Uçuş Geçiş Analizi</t>
        </is>
      </c>
      <c r="D42" s="26" t="inlineStr">
        <is>
          <t>LLM (Python)</t>
        </is>
      </c>
      <c r="E42" s="26" t="inlineStr">
        <is>
          <t>ground_effect.json + fwd_flight.json</t>
        </is>
      </c>
      <c r="F42" s="26" t="inlineStr">
        <is>
          <t>WBS 3.3+5.3</t>
        </is>
      </c>
      <c r="G42" s="26" t="inlineStr">
        <is>
          <t>ige_transition.py  # IGE→OGE geçiş profili; optimal kalkış açısı
# P_transition(z) = P_hover × T_OGE/T_IGE(z); min enerj</t>
        </is>
      </c>
      <c r="H42" s="26" t="inlineStr">
        <is>
          <t>ige_fwd.json: P_takeoff_W, optimal_climb_angle_deg, z_OGE_m, P_profile_W[]</t>
        </is>
      </c>
      <c r="I42" s="26" t="inlineStr">
        <is>
          <t>Kalkış güç bütçesi IGE→OGE geçişi dahil; optimal climb angle hesaplanmış</t>
        </is>
      </c>
      <c r="J42" s="26" t="inlineStr">
        <is>
          <t>Cheeseman-Bennett | Leishman §7</t>
        </is>
      </c>
    </row>
    <row r="43" ht="48" customHeight="1">
      <c r="A43" s="9" t="inlineStr">
        <is>
          <t>WBS 5.6</t>
        </is>
      </c>
      <c r="B43" s="10" t="inlineStr">
        <is>
          <t>AŞAMA 5 Aerodinamik &amp; Rotor Di</t>
        </is>
      </c>
      <c r="C43" s="10" t="inlineStr">
        <is>
          <t>Akustik &amp; Gürültü Tahmini (FW-H / BPM)</t>
        </is>
      </c>
      <c r="D43" s="10" t="inlineStr">
        <is>
          <t>LLM (Python)  [TECH-FIX]</t>
        </is>
      </c>
      <c r="E43" s="10" t="inlineStr">
        <is>
          <t>propeller.json + RPM_hover + D_rotor + fwd_flight.json</t>
        </is>
      </c>
      <c r="F43" s="10" t="inlineStr">
        <is>
          <t>WBS 3.5</t>
        </is>
      </c>
      <c r="G43" s="10" t="inlineStr">
        <is>
          <t xml:space="preserve">noise_model.py  # TECH-FIX: FW-H (Ffowcs Williams-Hawkings) kalınlık+yükleme
# BPM basit model + FW-H düzeltme faktörü: </t>
        </is>
      </c>
      <c r="H43" s="10" t="inlineStr">
        <is>
          <t>noise.json: OASPL_dBA_1m, SPL_thickness_dB, SPL_loading_dB, dominant_freq_Hz</t>
        </is>
      </c>
      <c r="I43" s="10" t="inlineStr">
        <is>
          <t>OASPL ≤ 70 dBA @ 1 m (şehir içi ops)</t>
        </is>
      </c>
      <c r="J43" s="10" t="inlineStr">
        <is>
          <t>FW-H (Ffowcs Williams-Hawkings 1969) | BPM | ISO 3744 — [TECH+STD fix]</t>
        </is>
      </c>
    </row>
    <row r="44" ht="24" customHeight="1">
      <c r="A44" s="27" t="inlineStr">
        <is>
          <t>WBS 6.0</t>
        </is>
      </c>
      <c r="B44" s="27" t="inlineStr">
        <is>
          <t>AŞAMA 6 Yapısal &amp; Termal Tasarım</t>
        </is>
      </c>
      <c r="C44" s="27" t="inlineStr"/>
      <c r="D44" s="27" t="inlineStr"/>
      <c r="E44" s="27" t="inlineStr"/>
      <c r="F44" s="27" t="inlineStr"/>
      <c r="G44" s="27" t="inlineStr"/>
      <c r="H44" s="27" t="inlineStr"/>
      <c r="I44" s="27" t="inlineStr"/>
      <c r="J44" s="27" t="inlineStr"/>
    </row>
    <row r="45" ht="48" customHeight="1">
      <c r="A45" s="20" t="inlineStr">
        <is>
          <t>WBS 6.1</t>
        </is>
      </c>
      <c r="B45" s="21" t="inlineStr">
        <is>
          <t>AŞAMA 6 Yapısal &amp; Termal Tasar</t>
        </is>
      </c>
      <c r="C45" s="21" t="inlineStr">
        <is>
          <t>Kol (Arm) Kesit Boyutlandırma</t>
        </is>
      </c>
      <c r="D45" s="21" t="inlineStr">
        <is>
          <t>LLM (Python)</t>
        </is>
      </c>
      <c r="E45" s="21" t="inlineStr">
        <is>
          <t>thrust_chain.json: T_per_rotor + geometry.json: arm_length_m</t>
        </is>
      </c>
      <c r="F45" s="21" t="inlineStr">
        <is>
          <t>WBS 3.9+2.2</t>
        </is>
      </c>
      <c r="G45" s="21" t="inlineStr">
        <is>
          <t>arm_size.py  # M=T_per_rotor×L_arm×n_DLL; σ=M×c/I; I=π(D4-d4)/64
# n_DLL=3.5; MS=σ_ult/σ_max - 1 ≥ 1.5</t>
        </is>
      </c>
      <c r="H45" s="21" t="inlineStr">
        <is>
          <t>arm_sizing.json: material, D_out_mm, t_wall_mm, sigma_max_MPa, MS, I_mm4</t>
        </is>
      </c>
      <c r="I45" s="21" t="inlineStr">
        <is>
          <t>MS ≥ 1.5 @ 3.5g DLL (KK-6); kesit atalet momenti I hesaplanmış</t>
        </is>
      </c>
      <c r="J45" s="21" t="inlineStr">
        <is>
          <t>MIL-HDBK-5J | ASTM D3039 | EASA SC-VTOL §2301 — [STD: FAR23→SC-VTOL]</t>
        </is>
      </c>
    </row>
    <row r="46" ht="48" customHeight="1">
      <c r="A46" s="14" t="inlineStr">
        <is>
          <t>WBS 6.2</t>
        </is>
      </c>
      <c r="B46" s="15" t="inlineStr">
        <is>
          <t>AŞAMA 6 Yapısal &amp; Termal Tasar</t>
        </is>
      </c>
      <c r="C46" s="15" t="inlineStr">
        <is>
          <t>Motor Montaj Rijitliği &amp; Titreşim İletimi</t>
        </is>
      </c>
      <c r="D46" s="15" t="inlineStr">
        <is>
          <t>LLM (Python)+scipy  [NEW]</t>
        </is>
      </c>
      <c r="E46" s="15" t="inlineStr">
        <is>
          <t>arm_sizing.json + motor.json: weight_g + RPM_max</t>
        </is>
      </c>
      <c r="F46" s="15" t="inlineStr">
        <is>
          <t>WBS 6.1+3.6</t>
        </is>
      </c>
      <c r="G46" s="15" t="inlineStr">
        <is>
          <t>mount_stiffness.py  # Motor mount: k_mount ≥ motor_mass × (2π×RPM/60)² × 2
# Titreşim iletim oranı: TR = k_mount/(k_moun</t>
        </is>
      </c>
      <c r="H46" s="15" t="inlineStr">
        <is>
          <t>mount_stiffness.json: k_mount_Nm, TR_at_hover, mount_material, mount_dims_mm</t>
        </is>
      </c>
      <c r="I46" s="15" t="inlineStr">
        <is>
          <t>Titreşim iletim oranı TR ≤ 0.15 @ hover RPM; mount rijitliği hesaplanmış</t>
        </is>
      </c>
      <c r="J46" s="15" t="inlineStr">
        <is>
          <t>Rao Mechanical Vibrations | ISO 10816 — [NEW: motor mount analysis]</t>
        </is>
      </c>
    </row>
    <row r="47" ht="48" customHeight="1">
      <c r="A47" s="28" t="inlineStr">
        <is>
          <t>WBS 6.3</t>
        </is>
      </c>
      <c r="B47" s="29" t="inlineStr">
        <is>
          <t>AŞAMA 6 Yapısal &amp; Termal Tasar</t>
        </is>
      </c>
      <c r="C47" s="29" t="inlineStr">
        <is>
          <t>Hub Gövde FEA Analizi (CalculiX)</t>
        </is>
      </c>
      <c r="D47" s="29" t="inlineStr">
        <is>
          <t>CalculiX / FEniCSx</t>
        </is>
      </c>
      <c r="E47" s="29" t="inlineStr">
        <is>
          <t>mc.stl + arm_sizing.json</t>
        </is>
      </c>
      <c r="F47" s="29" t="inlineStr">
        <is>
          <t>WBS 6.1+2.4</t>
        </is>
      </c>
      <c r="G47" s="29" t="inlineStr">
        <is>
          <t>fea_hub.py  # .inp oluştur: NODE/ELEMENT/BOUNDARY/LOAD; ccx statik+modal
# Yük: T_total×n_DLL vertikal + kol yatay momen</t>
        </is>
      </c>
      <c r="H47" s="29" t="inlineStr">
        <is>
          <t>fea.json: max_stress_MPa, max_defl_mm, nat_freq_Hz[], MS_min, mode_shapes[]</t>
        </is>
      </c>
      <c r="I47" s="29" t="inlineStr">
        <is>
          <t>MS ≥ 1.5; f_nat[0] &gt; 2×RPM_max_Hz (Campbell kriteri)</t>
        </is>
      </c>
      <c r="J47" s="29" t="inlineStr">
        <is>
          <t>MIL-HDBK-516C §5 | EASA CS-23 Amdt.5</t>
        </is>
      </c>
    </row>
    <row r="48" ht="48" customHeight="1">
      <c r="A48" s="9" t="inlineStr">
        <is>
          <t>WBS 6.4</t>
        </is>
      </c>
      <c r="B48" s="10" t="inlineStr">
        <is>
          <t>AŞAMA 6 Yapısal &amp; Termal Tasar</t>
        </is>
      </c>
      <c r="C48" s="10" t="inlineStr">
        <is>
          <t>Campbell Diyagramı &amp; Rezonans Analizi</t>
        </is>
      </c>
      <c r="D48" s="10" t="inlineStr">
        <is>
          <t>LLM (Python)  [TECH-FIX]</t>
        </is>
      </c>
      <c r="E48" s="10" t="inlineStr">
        <is>
          <t>fea.json: nat_freq_Hz[] + RPM_range</t>
        </is>
      </c>
      <c r="F48" s="10" t="inlineStr">
        <is>
          <t>WBS 6.3</t>
        </is>
      </c>
      <c r="G48" s="10" t="inlineStr">
        <is>
          <t xml:space="preserve">campbell.py  # TECH-FIX: frekans formatı düzeltildi
# Harmonikler: f_harm_n = n × (RPM/60)  [Hz cinsinden; DEĞİL RPM]
# </t>
        </is>
      </c>
      <c r="H48" s="10" t="inlineStr">
        <is>
          <t>campbell.json: critical_RPMs[], safety_margin_pct[], anti_vib_mount_k, imu_vib_g_rms</t>
        </is>
      </c>
      <c r="I48" s="10" t="inlineStr">
        <is>
          <t>Kritik RPM'lerden ≥ %20 uzak; IMU titreşim ≤ 0.3 g RMS</t>
        </is>
      </c>
      <c r="J48" s="10" t="inlineStr">
        <is>
          <t>ISO 10816-3 | PX4 Vibration Guide — [TECH: Hz/RPM format düzeltildi]</t>
        </is>
      </c>
    </row>
    <row r="49" ht="48" customHeight="1">
      <c r="A49" s="20" t="inlineStr">
        <is>
          <t>WBS 6.5</t>
        </is>
      </c>
      <c r="B49" s="21" t="inlineStr">
        <is>
          <t>AŞAMA 6 Yapısal &amp; Termal Tasar</t>
        </is>
      </c>
      <c r="C49" s="21" t="inlineStr">
        <is>
          <t>Motor Termal Analizi</t>
        </is>
      </c>
      <c r="D49" s="21" t="inlineStr">
        <is>
          <t>LLM (Python)</t>
        </is>
      </c>
      <c r="E49" s="21" t="inlineStr">
        <is>
          <t>motor.json: P_max, eta + ambient_temp + duty_cycle</t>
        </is>
      </c>
      <c r="F49" s="21" t="inlineStr">
        <is>
          <t>WBS 3.6</t>
        </is>
      </c>
      <c r="G49" s="21" t="inlineStr">
        <is>
          <t>thermal_motor.py  # Q=P_max×(1-η_mot)×duty; R_th=ΔT/Q; T_mot=T_amb+Q×R_th
# T_margin=(T_max-T_mot)/T_max×100 ≥ 20%</t>
        </is>
      </c>
      <c r="H49" s="21" t="inlineStr">
        <is>
          <t>thermal.json: T_motor_C, T_max_C, T_margin_pct, R_th_CW, cooling_method</t>
        </is>
      </c>
      <c r="I49" s="21" t="inlineStr">
        <is>
          <t>T_margin ≥ 20% (KK-10); R_th hesaplanmış; soğutma yöntemi belirlenmiş</t>
        </is>
      </c>
      <c r="J49" s="21" t="inlineStr">
        <is>
          <t>IEC 60034-1 | MIL-STD-810H Method 501 — [STD: §514→501 termal metot]</t>
        </is>
      </c>
    </row>
    <row r="50" ht="48" customHeight="1">
      <c r="A50" s="28" t="inlineStr">
        <is>
          <t>WBS 6.6</t>
        </is>
      </c>
      <c r="B50" s="29" t="inlineStr">
        <is>
          <t>AŞAMA 6 Yapısal &amp; Termal Tasar</t>
        </is>
      </c>
      <c r="C50" s="29" t="inlineStr">
        <is>
          <t>Çevre Koruma — IP Sınıfı &amp; Sıcaklık Aralığı</t>
        </is>
      </c>
      <c r="D50" s="29" t="inlineStr">
        <is>
          <t>LLM (Spec Parser)</t>
        </is>
      </c>
      <c r="E50" s="29" t="inlineStr">
        <is>
          <t>regulation.json: ops_env + motor/esc/avionics datasheets</t>
        </is>
      </c>
      <c r="F50" s="29" t="inlineStr">
        <is>
          <t>WBS 1.3+3.6</t>
        </is>
      </c>
      <c r="G50" s="29" t="inlineStr">
        <is>
          <t>env_protection.py  # IP sınıfı gereksinim tablosu; ops sıcaklık; nem
# Açık hava urban: IP43; yağmurlu: IP54; su üstü: I</t>
        </is>
      </c>
      <c r="H50" s="29" t="inlineStr">
        <is>
          <t>env_prot.json: IP_class, T_ops_min_C, T_ops_max_C, humidity_max_pct, corrosion_class</t>
        </is>
      </c>
      <c r="I50" s="29" t="inlineStr">
        <is>
          <t>IP ≥ 43 (standart açık hava); tüm bileşenler ops sıcaklık aralığında</t>
        </is>
      </c>
      <c r="J50" s="29" t="inlineStr">
        <is>
          <t>IEC 60529 | MIL-STD-810H | DO-160G §4</t>
        </is>
      </c>
    </row>
    <row r="51" ht="24" customHeight="1">
      <c r="A51" s="30" t="inlineStr">
        <is>
          <t>WBS 7.0</t>
        </is>
      </c>
      <c r="B51" s="30" t="inlineStr">
        <is>
          <t>AŞAMA 7 Uçuş Kontrol &amp; GNC</t>
        </is>
      </c>
      <c r="C51" s="30" t="inlineStr"/>
      <c r="D51" s="30" t="inlineStr"/>
      <c r="E51" s="30" t="inlineStr"/>
      <c r="F51" s="30" t="inlineStr"/>
      <c r="G51" s="30" t="inlineStr"/>
      <c r="H51" s="30" t="inlineStr"/>
      <c r="I51" s="30" t="inlineStr"/>
      <c r="J51" s="30" t="inlineStr"/>
    </row>
    <row r="52" ht="48" customHeight="1">
      <c r="A52" s="31" t="inlineStr">
        <is>
          <t>WBS 7.1</t>
        </is>
      </c>
      <c r="B52" s="32" t="inlineStr">
        <is>
          <t>AŞAMA 7 Uçuş Kontrol &amp; GNC</t>
        </is>
      </c>
      <c r="C52" s="32" t="inlineStr">
        <is>
          <t>6-DOF Dinamik Model</t>
        </is>
      </c>
      <c r="D52" s="32" t="inlineStr">
        <is>
          <t>LLM (Python/NumPy)</t>
        </is>
      </c>
      <c r="E52" s="32" t="inlineStr">
        <is>
          <t>mass_budget.json + geometry.json + motor.json</t>
        </is>
      </c>
      <c r="F52" s="32" t="inlineStr">
        <is>
          <t>WBS 2.7+3.6</t>
        </is>
      </c>
      <c r="G52" s="32" t="inlineStr">
        <is>
          <t>dynamics_6dof.py  # Newton-Euler; I_xx/yy/zz paralel eksen teoremi
# I_body = I_cm + m×d²; tau_gyro = I_rotor×Ω × dψ/dt</t>
        </is>
      </c>
      <c r="H52" s="32" t="inlineStr">
        <is>
          <t>dynamics.json: I_xx, I_yy, I_zz, m_kg, b_thrust, d_drag, tau_motor, I_rotor</t>
        </is>
      </c>
      <c r="I52" s="32" t="inlineStr">
        <is>
          <t>Atalet tensörü paralel eksen teoremi ile hesaplanmış; gyro terimi dahil</t>
        </is>
      </c>
      <c r="J52" s="32" t="inlineStr">
        <is>
          <t>Mahony 2012 | Stevens &amp; Lewis Aircraft Control | Quan Multicopter Design</t>
        </is>
      </c>
    </row>
    <row r="53" ht="48" customHeight="1">
      <c r="A53" s="9" t="inlineStr">
        <is>
          <t>WBS 7.2</t>
        </is>
      </c>
      <c r="B53" s="10" t="inlineStr">
        <is>
          <t>AŞAMA 7 Uçuş Kontrol &amp; GNC</t>
        </is>
      </c>
      <c r="C53" s="10" t="inlineStr">
        <is>
          <t>Motor Mixing Matrix &amp; Kontrol Yapısı  [TECH-FIX]</t>
        </is>
      </c>
      <c r="D53" s="10" t="inlineStr">
        <is>
          <t>LLM (Python)</t>
        </is>
      </c>
      <c r="E53" s="10" t="inlineStr">
        <is>
          <t>config.json: n_rotors, layout, rotation_dirs[] + dynamics.json</t>
        </is>
      </c>
      <c r="F53" s="10" t="inlineStr">
        <is>
          <t>WBS 2.1+7.1</t>
        </is>
      </c>
      <c r="G53" s="10" t="inlineStr">
        <is>
          <t>mixing.py  # TECH-FIX: Condition number kontrolü eklendi
# B_alloc: [F_z, M_roll, M_pitch, M_yaw] = B × [Ω₁²..Ωn²]
# Sin</t>
        </is>
      </c>
      <c r="H53" s="10" t="inlineStr">
        <is>
          <t>mixing.json: B_matrix, cond_number, rank, OEI_authority, failsafe_modes[], rotation_dirs[]</t>
        </is>
      </c>
      <c r="I53" s="10" t="inlineStr">
        <is>
          <t>rank(B) = 4; cond(B) &lt; 50; OEI durumunda kontrol otoritesi korunmuş</t>
        </is>
      </c>
      <c r="J53" s="10" t="inlineStr">
        <is>
          <t>PX4 Mixer | EASA SC-VTOL §2530 — [TECH: cond number check eklendi]</t>
        </is>
      </c>
    </row>
    <row r="54" ht="48" customHeight="1">
      <c r="A54" s="9" t="inlineStr">
        <is>
          <t>WBS 7.3</t>
        </is>
      </c>
      <c r="B54" s="10" t="inlineStr">
        <is>
          <t>AŞAMA 7 Uçuş Kontrol &amp; GNC</t>
        </is>
      </c>
      <c r="C54" s="10" t="inlineStr">
        <is>
          <t>LQR / PID Kontrol Tasarımı</t>
        </is>
      </c>
      <c r="D54" s="10" t="inlineStr">
        <is>
          <t>Python-control / scipy</t>
        </is>
      </c>
      <c r="E54" s="10" t="inlineStr">
        <is>
          <t>dynamics.json + bandwidth_req_Hz</t>
        </is>
      </c>
      <c r="F54" s="10" t="inlineStr">
        <is>
          <t>WBS 7.1</t>
        </is>
      </c>
      <c r="G54" s="10" t="inlineStr">
        <is>
          <t>control_design.py  # Linearize@hover; A,B→LQR; BW≥10Hz; PM≥45°
# Anti-windup: integrator saturation ±I_max; back-calcula</t>
        </is>
      </c>
      <c r="H54" s="10" t="inlineStr">
        <is>
          <t>controller.json: Kp/Ki/Kd, anti_windup_limit, LQR_K, bandwidth_Hz, phase_margin_deg, GM_dB</t>
        </is>
      </c>
      <c r="I54" s="10" t="inlineStr">
        <is>
          <t>BW ≥ 10 Hz (KK-9); PM ≥ 45°; GM ≥ 6 dB; anti-windup aktif</t>
        </is>
      </c>
      <c r="J54" s="10" t="inlineStr">
        <is>
          <t>MIL-F-9490D | ADS-33E-PRF | [TECH: anti-windup eklendi]</t>
        </is>
      </c>
    </row>
    <row r="55" ht="48" customHeight="1">
      <c r="A55" s="14" t="inlineStr">
        <is>
          <t>WBS 7.4</t>
        </is>
      </c>
      <c r="B55" s="15" t="inlineStr">
        <is>
          <t>AŞAMA 7 Uçuş Kontrol &amp; GNC</t>
        </is>
      </c>
      <c r="C55" s="15" t="inlineStr">
        <is>
          <t>Anti-Windup &amp; Actuator Saturation Yönetimi</t>
        </is>
      </c>
      <c r="D55" s="15" t="inlineStr">
        <is>
          <t>LLM (Python)  [NEW]</t>
        </is>
      </c>
      <c r="E55" s="15" t="inlineStr">
        <is>
          <t>controller.json + motor.json: RPM_min, RPM_max</t>
        </is>
      </c>
      <c r="F55" s="15" t="inlineStr">
        <is>
          <t>WBS 7.3</t>
        </is>
      </c>
      <c r="G55" s="15" t="inlineStr">
        <is>
          <t>anti_windup.py  # Back-calculation anti-windup
# Saturation: Ω_cmd ∈ [RPM_min, RPM_max]
# Control allocation: redistribu</t>
        </is>
      </c>
      <c r="H55" s="15" t="inlineStr">
        <is>
          <t>anti_windup.json: windup_limit, saturation_RPM_min, saturation_RPM_max, priority_order</t>
        </is>
      </c>
      <c r="I55" s="15" t="inlineStr">
        <is>
          <t>Integratör sınırları belirlendi; saturasyon öncelik sırası tanımlandı</t>
        </is>
      </c>
      <c r="J55" s="15" t="inlineStr">
        <is>
          <t>Johansen &amp; Fossen 2013 | PX4 MC Rate Control — [NEW]</t>
        </is>
      </c>
    </row>
    <row r="56" ht="48" customHeight="1">
      <c r="A56" s="14" t="inlineStr">
        <is>
          <t>WBS 7.5</t>
        </is>
      </c>
      <c r="B56" s="15" t="inlineStr">
        <is>
          <t>AŞAMA 7 Uçuş Kontrol &amp; GNC</t>
        </is>
      </c>
      <c r="C56" s="15" t="inlineStr">
        <is>
          <t>İrtifa Kontrolcüsü (Baro + Optical Flow + Lidar)</t>
        </is>
      </c>
      <c r="D56" s="15" t="inlineStr">
        <is>
          <t>LLM (Python)  [NEW]</t>
        </is>
      </c>
      <c r="E56" s="15" t="inlineStr">
        <is>
          <t>nav.json + sensor_specs.json + controller.json</t>
        </is>
      </c>
      <c r="F56" s="15" t="inlineStr">
        <is>
          <t>WBS 7.5+9.1</t>
        </is>
      </c>
      <c r="G56" s="15" t="inlineStr">
        <is>
          <t xml:space="preserve">altitude_ctrl.py  # Baro: P→alt; optical flow: vz; lidar: z
# Cascade: alt_error→v_z_cmd→throttle; complementary filter
</t>
        </is>
      </c>
      <c r="H56" s="15" t="inlineStr">
        <is>
          <t>altitude_ctrl.json: Kp_alt, Ki_alt, Kd_alt, alt_rms_target_m, sensor_fusion_weights</t>
        </is>
      </c>
      <c r="I56" s="15" t="inlineStr">
        <is>
          <t>Alt RMS ≤ 0.1 m indoor (SITL); sensor füzyon ağırlıkları belirlenmiş</t>
        </is>
      </c>
      <c r="J56" s="15" t="inlineStr">
        <is>
          <t>PX4 MC Position Control | Mahony — [NEW: baro/optical/lidar fusion]</t>
        </is>
      </c>
    </row>
    <row r="57" ht="48" customHeight="1">
      <c r="A57" s="31" t="inlineStr">
        <is>
          <t>WBS 7.6</t>
        </is>
      </c>
      <c r="B57" s="32" t="inlineStr">
        <is>
          <t>AŞAMA 7 Uçuş Kontrol &amp; GNC</t>
        </is>
      </c>
      <c r="C57" s="32" t="inlineStr">
        <is>
          <t>Rüzgar Gustu &amp; Disturbans Reddi</t>
        </is>
      </c>
      <c r="D57" s="32" t="inlineStr">
        <is>
          <t>LLM (Python+control)</t>
        </is>
      </c>
      <c r="E57" s="32" t="inlineStr">
        <is>
          <t>controller.json + gust.json</t>
        </is>
      </c>
      <c r="F57" s="32" t="inlineStr">
        <is>
          <t>WBS 7.3+5.4</t>
        </is>
      </c>
      <c r="G57" s="32" t="inlineStr">
        <is>
          <t>disturbance.py  # H∞ disturbance rejection; Dryden PSD gust
# ||T_zw||∞ ≤ γ (γ &lt; 1 → disturbans bastırma)</t>
        </is>
      </c>
      <c r="H57" s="32" t="inlineStr">
        <is>
          <t>gust_ctrl.json: pos_dev_max_m, recovery_s, gust_rejection_dB, Hinf_gamma</t>
        </is>
      </c>
      <c r="I57" s="32" t="inlineStr">
        <is>
          <t>Gust pos sapma ≤ 2 m; recovery ≤ 5 s; γ &lt; 1.0</t>
        </is>
      </c>
      <c r="J57" s="32" t="inlineStr">
        <is>
          <t>MIL-SPEC-8785C | H∞ robust control</t>
        </is>
      </c>
    </row>
    <row r="58" ht="48" customHeight="1">
      <c r="A58" s="9" t="inlineStr">
        <is>
          <t>WBS 7.7</t>
        </is>
      </c>
      <c r="B58" s="10" t="inlineStr">
        <is>
          <t>AŞAMA 7 Uçuş Kontrol &amp; GNC</t>
        </is>
      </c>
      <c r="C58" s="10" t="inlineStr">
        <is>
          <t>EKF Navigasyon &amp; Sensör Füzyonu  [TECH-FIX]</t>
        </is>
      </c>
      <c r="D58" s="10" t="inlineStr">
        <is>
          <t>LLM (Python)+filterpy</t>
        </is>
      </c>
      <c r="E58" s="10" t="inlineStr">
        <is>
          <t>IMU_noise.json + GPS_params.json + baro_noise</t>
        </is>
      </c>
      <c r="F58" s="10" t="inlineStr">
        <is>
          <t>WBS 7.1</t>
        </is>
      </c>
      <c r="G58" s="10" t="inlineStr">
        <is>
          <t>ekf_nav.py  # TECH-FIX: Q_noise ve R_noise matrisleri tam tanımlandı
# Q = diag([σ_acc², σ_gyro², σ_bias²]) — proses gür</t>
        </is>
      </c>
      <c r="H58" s="10" t="inlineStr">
        <is>
          <t>nav.json: pos_acc_m, vel_acc_ms, att_acc_deg, Q_matrix, R_matrix, update_rate_Hz</t>
        </is>
      </c>
      <c r="I58" s="10" t="inlineStr">
        <is>
          <t>Pozisyon ≤ 0.5 m; Yaw ≤ 2°; Q ve R matrisleri tam tanımlı</t>
        </is>
      </c>
      <c r="J58" s="10" t="inlineStr">
        <is>
          <t>DO-316A | RTCA DO-365 | IEEE AES — [TECH: Q/R matrisleri eklendi, STD: DO-316→DO-316A]</t>
        </is>
      </c>
    </row>
    <row r="59" ht="48" customHeight="1">
      <c r="A59" s="31" t="inlineStr">
        <is>
          <t>WBS 7.8</t>
        </is>
      </c>
      <c r="B59" s="32" t="inlineStr">
        <is>
          <t>AŞAMA 7 Uçuş Kontrol &amp; GNC</t>
        </is>
      </c>
      <c r="C59" s="32" t="inlineStr">
        <is>
          <t>Geofencing &amp; Otopilot Güvenlik Mantığı</t>
        </is>
      </c>
      <c r="D59" s="32" t="inlineStr">
        <is>
          <t>LLM (Python)</t>
        </is>
      </c>
      <c r="E59" s="32" t="inlineStr">
        <is>
          <t>regulation.json + mission_profile.json</t>
        </is>
      </c>
      <c r="F59" s="32" t="inlineStr">
        <is>
          <t>WBS 1.3+7.3</t>
        </is>
      </c>
      <c r="G59" s="32" t="inlineStr">
        <is>
          <t xml:space="preserve">geofence.py  # Silindirik/poligon geofence; RTL trigger; OBC watchdog
# RC-loss: t_timeout=1.0s → RTL; low-bat: E&lt;20% → </t>
        </is>
      </c>
      <c r="H59" s="32" t="inlineStr">
        <is>
          <t>geofence.json: fence_type, RTL_alt_m, failsafe_chain[], RC_timeout_s, low_bat_pct</t>
        </is>
      </c>
      <c r="I59" s="32" t="inlineStr">
        <is>
          <t>RTL tüm senaryolarda ≤ 3 s; failsafe_chain tüm arıza durumlarını kapsar</t>
        </is>
      </c>
      <c r="J59" s="32" t="inlineStr">
        <is>
          <t>EASA AMC RPAS.1309 | DO-365 | JARUS SORA OSO#06</t>
        </is>
      </c>
    </row>
    <row r="60" ht="48" customHeight="1">
      <c r="A60" s="31" t="inlineStr">
        <is>
          <t>WBS 7.9</t>
        </is>
      </c>
      <c r="B60" s="32" t="inlineStr">
        <is>
          <t>AŞAMA 7 Uçuş Kontrol &amp; GNC</t>
        </is>
      </c>
      <c r="C60" s="32" t="inlineStr">
        <is>
          <t>Yazılım Mimarisi (PX4/ArduPilot Özelleştirme)</t>
        </is>
      </c>
      <c r="D60" s="32" t="inlineStr">
        <is>
          <t>LLM (Python+YAML)</t>
        </is>
      </c>
      <c r="E60" s="32" t="inlineStr">
        <is>
          <t>config.json + controller.json + mixing.json</t>
        </is>
      </c>
      <c r="F60" s="32" t="inlineStr">
        <is>
          <t>WBS 7.2+7.3</t>
        </is>
      </c>
      <c r="G60" s="32" t="inlineStr">
        <is>
          <t>fw_config.py  # PX4 param set; uXRCE-DDS topic; custom mixer YAML
# MAVLink handshake test; param upload verify; mixer v</t>
        </is>
      </c>
      <c r="H60" s="32" t="inlineStr">
        <is>
          <t>firmware_config.json: fw_version, param_file, mixer_file, mavlink_OK, params_count</t>
        </is>
      </c>
      <c r="I60" s="32" t="inlineStr">
        <is>
          <t>Firmware parametreleri upload edilmiş; MAVLink handshake OK</t>
        </is>
      </c>
      <c r="J60" s="32" t="inlineStr">
        <is>
          <t>PX4 Dev Guide v1.14 | ArduPilot Docs | MAVLink 2.0</t>
        </is>
      </c>
    </row>
    <row r="61" ht="48" customHeight="1">
      <c r="A61" s="14" t="inlineStr">
        <is>
          <t>WBS 7.10</t>
        </is>
      </c>
      <c r="B61" s="15" t="inlineStr">
        <is>
          <t>AŞAMA 7 Uçuş Kontrol &amp; GNC</t>
        </is>
      </c>
      <c r="C61" s="15" t="inlineStr">
        <is>
          <t>Dual IMU &amp; Sensör Redundancy Mimarisi  [NEW-v4]</t>
        </is>
      </c>
      <c r="D61" s="15" t="inlineStr">
        <is>
          <t>LLM (Python) + PX4/ArduPilot</t>
        </is>
      </c>
      <c r="E61" s="15" t="inlineStr">
        <is>
          <t>firmware_config.json + regulation.json: SAIL_level + sensor_specs.json</t>
        </is>
      </c>
      <c r="F61" s="15" t="inlineStr">
        <is>
          <t>WBS 7.9 + WBS 9.1 + WBS 1.3</t>
        </is>
      </c>
      <c r="G61" s="15" t="inlineStr">
        <is>
          <t>dual_imu.py  # Primary/Secondary IMU seçim mantığı
# İki IMU tutarsızlık tespiti: |att_diff| &gt; threshold → failover
# Ba</t>
        </is>
      </c>
      <c r="H61" s="15" t="inlineStr">
        <is>
          <t>dual_imu.json: imu_primary, imu_secondary, failover_threshold_deg, baro_redundancy, DAL_level</t>
        </is>
      </c>
      <c r="I61" s="15" t="inlineStr">
        <is>
          <t>Dual IMU tutarsızlık tespiti ≤ 0.5°; failover ≤ 100 ms; DAL seviyesi belirlenmiş</t>
        </is>
      </c>
      <c r="J61" s="15" t="inlineStr">
        <is>
          <t>DO-178C Level C | ARP4754A | EASA SC-VTOL §2570  [NEW]</t>
        </is>
      </c>
    </row>
    <row r="62" ht="48" customHeight="1">
      <c r="A62" s="14" t="inlineStr">
        <is>
          <t>WBS 7.11</t>
        </is>
      </c>
      <c r="B62" s="15" t="inlineStr">
        <is>
          <t>AŞAMA 7 Uçuş Kontrol &amp; GNC</t>
        </is>
      </c>
      <c r="C62" s="15" t="inlineStr">
        <is>
          <t>ESC/Motor Sağlık Monitöring &amp; Arıza Erken Uyarı  [NEW-v4]</t>
        </is>
      </c>
      <c r="D62" s="15" t="inlineStr">
        <is>
          <t>LLM (Python) + MAVLink/DSHOT</t>
        </is>
      </c>
      <c r="E62" s="15" t="inlineStr">
        <is>
          <t>motor.json + esc.json + thrust_chain.json: T_per_rotor_N</t>
        </is>
      </c>
      <c r="F62" s="15" t="inlineStr">
        <is>
          <t>WBS 3.6 + WBS 3.7 + WBS 7.9</t>
        </is>
      </c>
      <c r="G62" s="15" t="inlineStr">
        <is>
          <t>motor_health.py  # DSHOT telemetri: RPM, I, T_esc, voltage
# Anomali tespiti: |RPM_actual - RPM_cmd| &gt; 5% → uyarı
# Tork</t>
        </is>
      </c>
      <c r="H62" s="15" t="inlineStr">
        <is>
          <t>motor_health.json: RPM_error_pct[], torque_err_pct[], T_esc_C[], health_scores[], fault_flags[]</t>
        </is>
      </c>
      <c r="I62" s="15" t="inlineStr">
        <is>
          <t>RPM hata tespiti &lt; 500 ms; arıza flag → failsafe chain tetiklenmeli</t>
        </is>
      </c>
      <c r="J62" s="15" t="inlineStr">
        <is>
          <t>DSHOT telemetri protokol | BLHeli_32 | ARP4761A §4  [NEW]</t>
        </is>
      </c>
    </row>
    <row r="63" ht="24" customHeight="1">
      <c r="A63" s="33" t="inlineStr">
        <is>
          <t>WBS 8.0</t>
        </is>
      </c>
      <c r="B63" s="33" t="inlineStr">
        <is>
          <t>AŞAMA 8 Haberleşme &amp; Datalink Sistemi</t>
        </is>
      </c>
      <c r="C63" s="33" t="inlineStr"/>
      <c r="D63" s="33" t="inlineStr"/>
      <c r="E63" s="33" t="inlineStr"/>
      <c r="F63" s="33" t="inlineStr"/>
      <c r="G63" s="33" t="inlineStr"/>
      <c r="H63" s="33" t="inlineStr"/>
      <c r="I63" s="33" t="inlineStr"/>
      <c r="J63" s="33" t="inlineStr"/>
    </row>
    <row r="64" ht="48" customHeight="1">
      <c r="A64" s="34" t="inlineStr">
        <is>
          <t>WBS 8.1</t>
        </is>
      </c>
      <c r="B64" s="35" t="inlineStr">
        <is>
          <t xml:space="preserve">AŞAMA 8 Haberleşme &amp; Datalink </t>
        </is>
      </c>
      <c r="C64" s="35" t="inlineStr">
        <is>
          <t>RC Link Seçimi &amp; Menzil Hesabı</t>
        </is>
      </c>
      <c r="D64" s="35" t="inlineStr">
        <is>
          <t>LLM (Spec Parser)</t>
        </is>
      </c>
      <c r="E64" s="35" t="inlineStr">
        <is>
          <t>regulation.json + mission_profile.json: range_km</t>
        </is>
      </c>
      <c r="F64" s="35" t="inlineStr">
        <is>
          <t>WBS 1.3+1.1</t>
        </is>
      </c>
      <c r="G64" s="35" t="inlineStr">
        <is>
          <t>rc_link.py  # Link budget: EIRP - FSPL - margin ≥ sensitivity
# ELRS: 2.4GHz 100mW → 3 km VLOS; Crossfire: 868MHz 1W → 1</t>
        </is>
      </c>
      <c r="H64" s="35" t="inlineStr">
        <is>
          <t>rc_link.json: protocol, freq_MHz, tx_power_mW, range_km, latency_ms, RSSI_threshold</t>
        </is>
      </c>
      <c r="I64" s="35" t="inlineStr">
        <is>
          <t>RC menzil ≥ ops_menzil × 1.5; gecikme ≤ 30 ms</t>
        </is>
      </c>
      <c r="J64" s="35" t="inlineStr">
        <is>
          <t>ETSI EN 300 328 | FCC Part 15 | DO-160G §20</t>
        </is>
      </c>
    </row>
    <row r="65" ht="48" customHeight="1">
      <c r="A65" s="20" t="inlineStr">
        <is>
          <t>WBS 8.2</t>
        </is>
      </c>
      <c r="B65" s="21" t="inlineStr">
        <is>
          <t xml:space="preserve">AŞAMA 8 Haberleşme &amp; Datalink </t>
        </is>
      </c>
      <c r="C65" s="21" t="inlineStr">
        <is>
          <t>Telemetri &amp; C2 Datalink Tasarımı</t>
        </is>
      </c>
      <c r="D65" s="21" t="inlineStr">
        <is>
          <t>LLM (Python)</t>
        </is>
      </c>
      <c r="E65" s="21" t="inlineStr">
        <is>
          <t>regulation.json: SAIL_level + mission_profile.json</t>
        </is>
      </c>
      <c r="F65" s="21" t="inlineStr">
        <is>
          <t>WBS 1.3</t>
        </is>
      </c>
      <c r="G65" s="21" t="inlineStr">
        <is>
          <t>c2_link.py  # MAVLink 2.0/MAVSDK; link margin; C2 availability
# BVLOS: LTE + 915 MHz yedek; heartbeat timeout ≤ 5 s</t>
        </is>
      </c>
      <c r="H65" s="21" t="inlineStr">
        <is>
          <t>c2_link.json: protocol, band_MHz, data_rate_kbps, latency_ms, availability_pct</t>
        </is>
      </c>
      <c r="I65" s="21" t="inlineStr">
        <is>
          <t>C2 gecikme ≤ 200 ms (BVLOS); availability ≥ 99.9%</t>
        </is>
      </c>
      <c r="J65" s="21" t="inlineStr">
        <is>
          <t>JARUS SORA OSO#10 | DO-365 | EUROCAE ED-269 — [STD: DO-316→ED-269]</t>
        </is>
      </c>
    </row>
    <row r="66" ht="48" customHeight="1">
      <c r="A66" s="14" t="inlineStr">
        <is>
          <t>WBS 8.3</t>
        </is>
      </c>
      <c r="B66" s="15" t="inlineStr">
        <is>
          <t xml:space="preserve">AŞAMA 8 Haberleşme &amp; Datalink </t>
        </is>
      </c>
      <c r="C66" s="15" t="inlineStr">
        <is>
          <t>Haberleşme Güvenliği (Şifreleme &amp; Spoofing Koruması)</t>
        </is>
      </c>
      <c r="D66" s="15" t="inlineStr">
        <is>
          <t>LLM (Python)  [NEW]</t>
        </is>
      </c>
      <c r="E66" s="15" t="inlineStr">
        <is>
          <t>c2_link.json + regulation.json: SAIL_level</t>
        </is>
      </c>
      <c r="F66" s="15" t="inlineStr">
        <is>
          <t>WBS 8.2+1.3</t>
        </is>
      </c>
      <c r="G66" s="15" t="inlineStr">
        <is>
          <t>comm_security.py  # AES-128/256 MAVLink şifrelemesi; GPS anti-spoofing
# HMAC imzalama; replay attack koruması (timestam</t>
        </is>
      </c>
      <c r="H66" s="15" t="inlineStr">
        <is>
          <t>comm_security.json: encryption_type, HMAC_flag, GPS_anti_spoof, auth_method</t>
        </is>
      </c>
      <c r="I66" s="15" t="inlineStr">
        <is>
          <t>AES-128 minimum; HMAC aktif; GPS multi-freq spoofing tespiti</t>
        </is>
      </c>
      <c r="J66" s="15" t="inlineStr">
        <is>
          <t>EUROCAE ED-269 | JARUS SORA OSO#10 | NIST SP 800-38A — [NEW]</t>
        </is>
      </c>
    </row>
    <row r="67" ht="48" customHeight="1">
      <c r="A67" s="34" t="inlineStr">
        <is>
          <t>WBS 8.4</t>
        </is>
      </c>
      <c r="B67" s="35" t="inlineStr">
        <is>
          <t xml:space="preserve">AŞAMA 8 Haberleşme &amp; Datalink </t>
        </is>
      </c>
      <c r="C67" s="35" t="inlineStr">
        <is>
          <t>Veri Kayıt &amp; Telemetri Sistemi (Black Box)</t>
        </is>
      </c>
      <c r="D67" s="35" t="inlineStr">
        <is>
          <t>LLM (Python)</t>
        </is>
      </c>
      <c r="E67" s="35" t="inlineStr">
        <is>
          <t>dynamics.json + controller.json + avionics spec</t>
        </is>
      </c>
      <c r="F67" s="35" t="inlineStr">
        <is>
          <t>WBS 7.1+7.3</t>
        </is>
      </c>
      <c r="G67" s="35" t="inlineStr">
        <is>
          <t>datalog.py  # ulog/DataFlash format; ≥100 Hz; SD boyutu
# Zorunlu loglar: IMU, GPS, attitude, ESC_status, battery, RC, m</t>
        </is>
      </c>
      <c r="H67" s="35" t="inlineStr">
        <is>
          <t>datalog.json: log_format, rate_Hz, duration_h, storage_GB, mandatory_params[]</t>
        </is>
      </c>
      <c r="I67" s="35" t="inlineStr">
        <is>
          <t>≥250 parametre @ 100 Hz; depolama ≥ 10 h; mandatory_params tam</t>
        </is>
      </c>
      <c r="J67" s="35" t="inlineStr">
        <is>
          <t>DO-160G §9 | PX4 uLog Spec | EASA DVR Req.</t>
        </is>
      </c>
    </row>
    <row r="68" ht="48" customHeight="1">
      <c r="A68" s="34" t="inlineStr">
        <is>
          <t>WBS 8.5</t>
        </is>
      </c>
      <c r="B68" s="35" t="inlineStr">
        <is>
          <t xml:space="preserve">AŞAMA 8 Haberleşme &amp; Datalink </t>
        </is>
      </c>
      <c r="C68" s="35" t="inlineStr">
        <is>
          <t>GCS (Ground Control Station) Kurulum &amp; Test</t>
        </is>
      </c>
      <c r="D68" s="35" t="inlineStr">
        <is>
          <t>LLM (Python)</t>
        </is>
      </c>
      <c r="E68" s="35" t="inlineStr">
        <is>
          <t>c2_link.json + geofence.json + mission_profile.json</t>
        </is>
      </c>
      <c r="F68" s="35" t="inlineStr">
        <is>
          <t>WBS 7.8+8.2</t>
        </is>
      </c>
      <c r="G68" s="35" t="inlineStr">
        <is>
          <t>gcs_setup.py  # QGC/Mission Planner bağlantı; geofence yükle; preflight check
# MAVLink heartbeat ≤ 1 Hz; mission upload</t>
        </is>
      </c>
      <c r="H68" s="35" t="inlineStr">
        <is>
          <t>gcs.json: sw_version, connection_OK, geofence_loaded, telemetry_latency_ms, params_synced</t>
        </is>
      </c>
      <c r="I68" s="35" t="inlineStr">
        <is>
          <t>GCS bağlantısı ≤ 500 ms; geofence yüklendi; parametreler senkronize</t>
        </is>
      </c>
      <c r="J68" s="35" t="inlineStr">
        <is>
          <t>JARUS SORA OSO#11 | QGC Docs | MAVLink 2.0</t>
        </is>
      </c>
    </row>
    <row r="69" ht="48" customHeight="1">
      <c r="A69" s="34" t="inlineStr">
        <is>
          <t>WBS 8.6</t>
        </is>
      </c>
      <c r="B69" s="35" t="inlineStr">
        <is>
          <t xml:space="preserve">AŞAMA 8 Haberleşme &amp; Datalink </t>
        </is>
      </c>
      <c r="C69" s="35" t="inlineStr">
        <is>
          <t>Hava Sahası Entegrasyonu — UTM/U-Space</t>
        </is>
      </c>
      <c r="D69" s="35" t="inlineStr">
        <is>
          <t>LLM (Python)</t>
        </is>
      </c>
      <c r="E69" s="35" t="inlineStr">
        <is>
          <t>regulation.json + mission_profile.json: route</t>
        </is>
      </c>
      <c r="F69" s="35" t="inlineStr">
        <is>
          <t>WBS 1.3</t>
        </is>
      </c>
      <c r="G69" s="35" t="inlineStr">
        <is>
          <t>utm_integration.py  # ASTM F3411 RID; flight plan submission; NOTAM
# UAS ID broadcast: 802.11 Wi-Fi / BT5; USS API endp</t>
        </is>
      </c>
      <c r="H69" s="35" t="inlineStr">
        <is>
          <t>utm.json: RID_compliant, flight_plan_id, USS_endpoint, BVLOS_auth, NOTAM_checked</t>
        </is>
      </c>
      <c r="I69" s="35" t="inlineStr">
        <is>
          <t>Remote ID aktif; uçuş planı onaylı; NOTAM kontrolü yapılmış</t>
        </is>
      </c>
      <c r="J69" s="35" t="inlineStr">
        <is>
          <t>ASTM F3411-22a | EASA U-Space Reg. 2021/664 | ICAO Annex 2</t>
        </is>
      </c>
    </row>
    <row r="70" ht="24" customHeight="1">
      <c r="A70" s="36" t="inlineStr">
        <is>
          <t>WBS 9.0</t>
        </is>
      </c>
      <c r="B70" s="36" t="inlineStr">
        <is>
          <t>AŞAMA 9 Sensör Kalibrasyon &amp; Payload Entegras</t>
        </is>
      </c>
      <c r="C70" s="36" t="inlineStr"/>
      <c r="D70" s="36" t="inlineStr"/>
      <c r="E70" s="36" t="inlineStr"/>
      <c r="F70" s="36" t="inlineStr"/>
      <c r="G70" s="36" t="inlineStr"/>
      <c r="H70" s="36" t="inlineStr"/>
      <c r="I70" s="36" t="inlineStr"/>
      <c r="J70" s="36" t="inlineStr"/>
    </row>
    <row r="71" ht="48" customHeight="1">
      <c r="A71" s="14" t="inlineStr">
        <is>
          <t>WBS 9.1</t>
        </is>
      </c>
      <c r="B71" s="15" t="inlineStr">
        <is>
          <t>AŞAMA 9 Sensör Kalibrasyon &amp; P</t>
        </is>
      </c>
      <c r="C71" s="15" t="inlineStr">
        <is>
          <t>Sensör Kalibrasyon Prosedürü  [NEW]</t>
        </is>
      </c>
      <c r="D71" s="15" t="inlineStr">
        <is>
          <t>LLM (Python)+MAVLink</t>
        </is>
      </c>
      <c r="E71" s="15" t="inlineStr">
        <is>
          <t>firmware_config.json + sensor_specs.json</t>
        </is>
      </c>
      <c r="F71" s="15" t="inlineStr">
        <is>
          <t>WBS 7.9</t>
        </is>
      </c>
      <c r="G71" s="15" t="inlineStr">
        <is>
          <t xml:space="preserve">sensor_calib.py  # IMU: 6-pozisyon kalibrasyon (Allen Variance)
# Manyetometre: elipsoid fit (12-param least squares)
# </t>
        </is>
      </c>
      <c r="H71" s="15" t="inlineStr">
        <is>
          <t>sensor_calib.json: IMU_bias[], IMU_scale[], mag_ellipsoid_params[], baro_offset, allan_dev</t>
        </is>
      </c>
      <c r="I71" s="15" t="inlineStr">
        <is>
          <t>IMU Allan deviation &lt; 0.1 °/√h; mag cal residual &lt; 20 mGauss</t>
        </is>
      </c>
      <c r="J71" s="15" t="inlineStr">
        <is>
          <t>PX4 Sensor Calib. | DO-160G §19 | IEEE 1554 — [NEW: kalibrasyon prosedürü]</t>
        </is>
      </c>
    </row>
    <row r="72" ht="48" customHeight="1">
      <c r="A72" s="37" t="inlineStr">
        <is>
          <t>WBS 9.2</t>
        </is>
      </c>
      <c r="B72" s="38" t="inlineStr">
        <is>
          <t>AŞAMA 9 Sensör Kalibrasyon &amp; P</t>
        </is>
      </c>
      <c r="C72" s="38" t="inlineStr">
        <is>
          <t>Payload Tanımlama &amp; Entegrasyon Arayüzü</t>
        </is>
      </c>
      <c r="D72" s="38" t="inlineStr">
        <is>
          <t>LLM (Python)</t>
        </is>
      </c>
      <c r="E72" s="38" t="inlineStr">
        <is>
          <t>mission_profile.json: payload_type + mass_budget.json</t>
        </is>
      </c>
      <c r="F72" s="38" t="inlineStr">
        <is>
          <t>WBS 1.1+2.7</t>
        </is>
      </c>
      <c r="G72" s="38" t="inlineStr">
        <is>
          <t>payload_interface.py  # Mekanik montaj + elektrik arayüz + CG etkisi
# Δcg = m_payload × (x_payload - cg_x) / MTOW ≤ 3 m</t>
        </is>
      </c>
      <c r="H72" s="38" t="inlineStr">
        <is>
          <t>payload.json: mass_kg, cg_offset_mm, power_W, data_interface, mount_type, Δcg_mm</t>
        </is>
      </c>
      <c r="I72" s="38" t="inlineStr">
        <is>
          <t>Payload montajı sonrası Δcg ≤ 3 mm; elektrik arayüz tanımlanmış</t>
        </is>
      </c>
      <c r="J72" s="38" t="inlineStr">
        <is>
          <t>EASA SC-VTOL §2550 | MIL-STD-1760 | DO-160G §1</t>
        </is>
      </c>
    </row>
    <row r="73" ht="48" customHeight="1">
      <c r="A73" s="37" t="inlineStr">
        <is>
          <t>WBS 9.3</t>
        </is>
      </c>
      <c r="B73" s="38" t="inlineStr">
        <is>
          <t>AŞAMA 9 Sensör Kalibrasyon &amp; P</t>
        </is>
      </c>
      <c r="C73" s="38" t="inlineStr">
        <is>
          <t>Gimbal &amp; Kamera Sistemi Tasarımı</t>
        </is>
      </c>
      <c r="D73" s="38" t="inlineStr">
        <is>
          <t>LLM (Python+Spec)</t>
        </is>
      </c>
      <c r="E73" s="38" t="inlineStr">
        <is>
          <t>payload.json + campbell.json: imu_vib_g_rms</t>
        </is>
      </c>
      <c r="F73" s="38" t="inlineStr">
        <is>
          <t>WBS 9.2+6.4</t>
        </is>
      </c>
      <c r="G73" s="38" t="inlineStr">
        <is>
          <t>gimbal_design.py  # 3-axis stabilizasyon; servo tork = I_gimbal×α_max
# Stabilizasyon BW ≥ 50 Hz; isolation: ≥ 30 dB @ r</t>
        </is>
      </c>
      <c r="H73" s="38" t="inlineStr">
        <is>
          <t>gimbal.json: axes, torque_Nm, stab_BW_Hz, isolation_dB, camera_spec, MAVLink_ctrl</t>
        </is>
      </c>
      <c r="I73" s="38" t="inlineStr">
        <is>
          <t>Gimbal stab ≤ 0.01° RMS @ hover; 3-axis; MAVLink kamera kontrol</t>
        </is>
      </c>
      <c r="J73" s="38" t="inlineStr">
        <is>
          <t>MIL-STD-810H Method 514 | Sony/DJI gimbal specs</t>
        </is>
      </c>
    </row>
    <row r="74" ht="48" customHeight="1">
      <c r="A74" s="37" t="inlineStr">
        <is>
          <t>WBS 9.4</t>
        </is>
      </c>
      <c r="B74" s="38" t="inlineStr">
        <is>
          <t>AŞAMA 9 Sensör Kalibrasyon &amp; P</t>
        </is>
      </c>
      <c r="C74" s="38" t="inlineStr">
        <is>
          <t>LiDAR / Engellerden Kaçınma Sistemi</t>
        </is>
      </c>
      <c r="D74" s="38" t="inlineStr">
        <is>
          <t>LLM (Python+ROS2)</t>
        </is>
      </c>
      <c r="E74" s="38" t="inlineStr">
        <is>
          <t>geometry.json + mission_profile.json: ops_env</t>
        </is>
      </c>
      <c r="F74" s="38" t="inlineStr">
        <is>
          <t>WBS 2.4+1.1</t>
        </is>
      </c>
      <c r="G74" s="38" t="inlineStr">
        <is>
          <t>obstacle_avoid.py  # LiDAR pointcloud; ROS2 costmap2D; velocity obstacle
# Güvenli durak mesafesi: d_safe = V_max × t_br</t>
        </is>
      </c>
      <c r="H74" s="38" t="inlineStr">
        <is>
          <t>lidar.json: range_m, FOV_deg, rate_Hz, ros2_topic, d_safe_m, obstacle_margin_m</t>
        </is>
      </c>
      <c r="I74" s="38" t="inlineStr">
        <is>
          <t>Engel tespiti ≥ 10 m önce; d_safe_m hesaplanmış</t>
        </is>
      </c>
      <c r="J74" s="38" t="inlineStr">
        <is>
          <t>DO-365 BVLOS | ASTM F3322-18 | ISO 10218-1</t>
        </is>
      </c>
    </row>
    <row r="75" ht="48" customHeight="1">
      <c r="A75" s="37" t="inlineStr">
        <is>
          <t>WBS 9.5</t>
        </is>
      </c>
      <c r="B75" s="38" t="inlineStr">
        <is>
          <t>AŞAMA 9 Sensör Kalibrasyon &amp; P</t>
        </is>
      </c>
      <c r="C75" s="38" t="inlineStr">
        <is>
          <t>Uçuş Öncesi Kontrol Listesi Otomasyonu</t>
        </is>
      </c>
      <c r="D75" s="38" t="inlineStr">
        <is>
          <t>LLM (Python)+MAVLink</t>
        </is>
      </c>
      <c r="E75" s="38" t="inlineStr">
        <is>
          <t>firmware_config.json + gcs.json + battery.json + sensor_calib.json</t>
        </is>
      </c>
      <c r="F75" s="38" t="inlineStr">
        <is>
          <t>WBS 7.9+8.5+4.2</t>
        </is>
      </c>
      <c r="G75" s="38" t="inlineStr">
        <is>
          <t>preflight.py  # MAVLink: GPS≥6sat, HDOP≤2.0, bat≥20%, cal_OK
# arming_check bitmask: 0x1FF (tüm kontroller)
# Mekanik: p</t>
        </is>
      </c>
      <c r="H75" s="38" t="inlineStr">
        <is>
          <t>preflight.json: checklist_items[], pass_fail[], arming_ready, motor_test_OK</t>
        </is>
      </c>
      <c r="I75" s="38" t="inlineStr">
        <is>
          <t>Tüm preflight PASS olmadan arm engellenmeli; motor test OK</t>
        </is>
      </c>
      <c r="J75" s="38" t="inlineStr">
        <is>
          <t>EASA AMC RPAS.1309 | FAA UAS Safety | PX4 Arming Checks</t>
        </is>
      </c>
    </row>
    <row r="76" ht="48" customHeight="1">
      <c r="A76" s="14" t="inlineStr">
        <is>
          <t>WBS 9.6</t>
        </is>
      </c>
      <c r="B76" s="15" t="inlineStr">
        <is>
          <t>AŞAMA 9 Sensör Kalibrasyon &amp; P</t>
        </is>
      </c>
      <c r="C76" s="15" t="inlineStr">
        <is>
          <t>Manyetometre Müdahale Analizi &amp; Compass-Mot Kompanzasyon  [NEW-v4]</t>
        </is>
      </c>
      <c r="D76" s="15" t="inlineStr">
        <is>
          <t>LLM (Python) + MAVLink</t>
        </is>
      </c>
      <c r="E76" s="15" t="inlineStr">
        <is>
          <t>emi.json + motor.json: I_max_A + geometry.json: motor_positions</t>
        </is>
      </c>
      <c r="F76" s="15" t="inlineStr">
        <is>
          <t>WBS 4.6 + WBS 3.6 + WBS 2.4</t>
        </is>
      </c>
      <c r="G76" s="15" t="inlineStr">
        <is>
          <t>compass_mot.py  # Motor akım → manyetik alan distorsiyonu
# B_motor = μ₀×I_motor / (2π×d_motor_mag)
# Compass-mot matris</t>
        </is>
      </c>
      <c r="H76" s="15" t="inlineStr">
        <is>
          <t>compass_mot.json: comp_matrix_3x3, residual_mGauss, B_motor_nT[], calibration_status</t>
        </is>
      </c>
      <c r="I76" s="15" t="inlineStr">
        <is>
          <t>Compass-mot residual ≤ 3 mGauss; kalibrasyon tüm throttle seviyelerinde</t>
        </is>
      </c>
      <c r="J76" s="15" t="inlineStr">
        <is>
          <t>PX4 Compass Motor Calibration | RTCA DO-316A §2.3  [NEW]</t>
        </is>
      </c>
    </row>
    <row r="77" ht="24" customHeight="1">
      <c r="A77" s="39" t="inlineStr">
        <is>
          <t>WBS 10.0</t>
        </is>
      </c>
      <c r="B77" s="39" t="inlineStr">
        <is>
          <t>AŞAMA 10 SITL &amp; HITL Simülasyonu</t>
        </is>
      </c>
      <c r="C77" s="39" t="inlineStr"/>
      <c r="D77" s="39" t="inlineStr"/>
      <c r="E77" s="39" t="inlineStr"/>
      <c r="F77" s="39" t="inlineStr"/>
      <c r="G77" s="39" t="inlineStr"/>
      <c r="H77" s="39" t="inlineStr"/>
      <c r="I77" s="39" t="inlineStr"/>
      <c r="J77" s="39" t="inlineStr"/>
    </row>
    <row r="78" ht="48" customHeight="1">
      <c r="A78" s="40" t="inlineStr">
        <is>
          <t>WBS 10.1</t>
        </is>
      </c>
      <c r="B78" s="41" t="inlineStr">
        <is>
          <t>AŞAMA 10 SITL &amp; HITL Simülasyo</t>
        </is>
      </c>
      <c r="C78" s="41" t="inlineStr">
        <is>
          <t>Gazebo Multirotor SDF Model Üretimi</t>
        </is>
      </c>
      <c r="D78" s="41" t="inlineStr">
        <is>
          <t>Gazebo Harmonic + ROS 2</t>
        </is>
      </c>
      <c r="E78" s="41" t="inlineStr">
        <is>
          <t>mc.stl + dynamics.json + motor.json</t>
        </is>
      </c>
      <c r="F78" s="41" t="inlineStr">
        <is>
          <t>WBS 2.4+7.1</t>
        </is>
      </c>
      <c r="G78" s="41" t="inlineStr">
        <is>
          <t xml:space="preserve">gen_sdf.py  # STL→SDF; inertia tensor; rotor_plugin; sensor plugins
# rotor_plugin: b_thrust, d_drag, time_constant_ms, </t>
        </is>
      </c>
      <c r="H78" s="41" t="inlineStr">
        <is>
          <t>mc_model.sdf + package.xml + model.config</t>
        </is>
      </c>
      <c r="I78" s="41" t="inlineStr">
        <is>
          <t>Gazebo modeli hatasız yüklenmeli; hover kararlı</t>
        </is>
      </c>
      <c r="J78" s="41" t="inlineStr">
        <is>
          <t>Gazebo Harmonic Docs | PX4 SITL Guide v1.14</t>
        </is>
      </c>
    </row>
    <row r="79" ht="48" customHeight="1">
      <c r="A79" s="40" t="inlineStr">
        <is>
          <t>WBS 10.2</t>
        </is>
      </c>
      <c r="B79" s="41" t="inlineStr">
        <is>
          <t>AŞAMA 10 SITL &amp; HITL Simülasyo</t>
        </is>
      </c>
      <c r="C79" s="41" t="inlineStr">
        <is>
          <t>SITL Hover &amp; Attitude Kararlılık Testi</t>
        </is>
      </c>
      <c r="D79" s="41" t="inlineStr">
        <is>
          <t>PX4/ArduPilot SITL</t>
        </is>
      </c>
      <c r="E79" s="41" t="inlineStr">
        <is>
          <t>mc_model.sdf + controller.json + altitude_ctrl.json</t>
        </is>
      </c>
      <c r="F79" s="41" t="inlineStr">
        <is>
          <t>WBS 10.1+7.3+7.5</t>
        </is>
      </c>
      <c r="G79" s="41" t="inlineStr">
        <is>
          <t>sitl_hover.py  # ARM→OFFBOARD→hover 60s; attitude+altitude log
# roll_rms, pitch_rms, yaw_rms, alt_rms hesabı</t>
        </is>
      </c>
      <c r="H79" s="41" t="inlineStr">
        <is>
          <t>sitl_hover.json: roll_rms_deg, pitch_rms_deg, yaw_rms_deg, alt_rms_m, hover_s</t>
        </is>
      </c>
      <c r="I79" s="41" t="inlineStr">
        <is>
          <t>Roll/Pitch RMS ≤ 1.0°; Yaw RMS ≤ 2.0°; Alt RMS ≤ 0.1 m (KK-11)</t>
        </is>
      </c>
      <c r="J79" s="41" t="inlineStr">
        <is>
          <t>PX4 QA | DO-178C Level C</t>
        </is>
      </c>
    </row>
    <row r="80" ht="48" customHeight="1">
      <c r="A80" s="40" t="inlineStr">
        <is>
          <t>WBS 10.3</t>
        </is>
      </c>
      <c r="B80" s="41" t="inlineStr">
        <is>
          <t>AŞAMA 10 SITL &amp; HITL Simülasyo</t>
        </is>
      </c>
      <c r="C80" s="41" t="inlineStr">
        <is>
          <t>SITL Manevra &amp; Yol Takip Testi</t>
        </is>
      </c>
      <c r="D80" s="41" t="inlineStr">
        <is>
          <t>PX4 SITL + MAVLink</t>
        </is>
      </c>
      <c r="E80" s="41" t="inlineStr">
        <is>
          <t>sitl_hover.json + waypoint_mission.json</t>
        </is>
      </c>
      <c r="F80" s="41" t="inlineStr">
        <is>
          <t>WBS 10.2</t>
        </is>
      </c>
      <c r="G80" s="41" t="inlineStr">
        <is>
          <t>sitl_mission.py  # Waypoint görev; cross_track_error; tamamlama
# 10 waypoint; speed 5 m/s; altitude hold ± 1 m</t>
        </is>
      </c>
      <c r="H80" s="41" t="inlineStr">
        <is>
          <t>sitl_mission.json: cross_track_err_m, speed_err_ms, alt_err_m, completion_flag</t>
        </is>
      </c>
      <c r="I80" s="41" t="inlineStr">
        <is>
          <t>Cross-track ≤ 1.0 m; görev tamamlama = True; alt_err ≤ 1.0 m</t>
        </is>
      </c>
      <c r="J80" s="41" t="inlineStr">
        <is>
          <t>RTCA DO-365 | JARUS SORA §4</t>
        </is>
      </c>
    </row>
    <row r="81" ht="48" customHeight="1">
      <c r="A81" s="40" t="inlineStr">
        <is>
          <t>WBS 10.4</t>
        </is>
      </c>
      <c r="B81" s="41" t="inlineStr">
        <is>
          <t>AŞAMA 10 SITL &amp; HITL Simülasyo</t>
        </is>
      </c>
      <c r="C81" s="41" t="inlineStr">
        <is>
          <t>Rüzgar &amp; Disturbans SITL Testi</t>
        </is>
      </c>
      <c r="D81" s="41" t="inlineStr">
        <is>
          <t>PX4 SITL + Gazebo Wind</t>
        </is>
      </c>
      <c r="E81" s="41" t="inlineStr">
        <is>
          <t>sitl_hover.json + gust_ctrl.json</t>
        </is>
      </c>
      <c r="F81" s="41" t="inlineStr">
        <is>
          <t>WBS 10.2+7.6</t>
        </is>
      </c>
      <c r="G81" s="41" t="inlineStr">
        <is>
          <t>sitl_wind.py  # Gazebo wind plugin; gust 5 m/s @ 45°; pos/att log
# von Kármán turbulence spectrum opsiyonel</t>
        </is>
      </c>
      <c r="H81" s="41" t="inlineStr">
        <is>
          <t>sitl_wind.json: pos_dev_max_m, att_dev_max_deg, recovery_s, wind_speed_ms</t>
        </is>
      </c>
      <c r="I81" s="41" t="inlineStr">
        <is>
          <t>Gust sonrası pos sapma ≤ 2 m; recovery ≤ 5 s (KK gust)</t>
        </is>
      </c>
      <c r="J81" s="41" t="inlineStr">
        <is>
          <t>MIL-SPEC-8785C | Gazebo Wind Plugin</t>
        </is>
      </c>
    </row>
    <row r="82" ht="48" customHeight="1">
      <c r="A82" s="14" t="inlineStr">
        <is>
          <t>WBS 10.5</t>
        </is>
      </c>
      <c r="B82" s="15" t="inlineStr">
        <is>
          <t>AŞAMA 10 SITL &amp; HITL Simülasyo</t>
        </is>
      </c>
      <c r="C82" s="15" t="inlineStr">
        <is>
          <t>Monte Carlo SITL Analizi (Parametre Belirsizliği)</t>
        </is>
      </c>
      <c r="D82" s="15" t="inlineStr">
        <is>
          <t>LLM (Python)+PX4  [NEW]</t>
        </is>
      </c>
      <c r="E82" s="15" t="inlineStr">
        <is>
          <t>dynamics.json + controller.json + sensor_noise_params</t>
        </is>
      </c>
      <c r="F82" s="15" t="inlineStr">
        <is>
          <t>WBS 10.2+7.1</t>
        </is>
      </c>
      <c r="G82" s="15" t="inlineStr">
        <is>
          <t>monte_carlo.py  # N=100 simülasyon; parametre pertürbasyon ±10%
# mass_pert ±5%, I_pert ±10%, b_thrust_pert ±8%
# Çıktı:</t>
        </is>
      </c>
      <c r="H82" s="15" t="inlineStr">
        <is>
          <t>monte_carlo.json: N_runs, param_perturbations{}, roll_rms_p95, converge_flag</t>
        </is>
      </c>
      <c r="I82" s="15" t="inlineStr">
        <is>
          <t>Roll RMS p95 ≤ 1.5°; tüm N çalıştırma tamamlanmış</t>
        </is>
      </c>
      <c r="J82" s="15" t="inlineStr">
        <is>
          <t>MIL-HDBK-17F §2 | Monte Carlo Methods — [NEW]</t>
        </is>
      </c>
    </row>
    <row r="83" ht="48" customHeight="1">
      <c r="A83" s="40" t="inlineStr">
        <is>
          <t>WBS 10.6</t>
        </is>
      </c>
      <c r="B83" s="41" t="inlineStr">
        <is>
          <t>AŞAMA 10 SITL &amp; HITL Simülasyo</t>
        </is>
      </c>
      <c r="C83" s="41" t="inlineStr">
        <is>
          <t>HITL &amp; Gerçek Donanım Doğrulama</t>
        </is>
      </c>
      <c r="D83" s="41" t="inlineStr">
        <is>
          <t>HITL FC + PC</t>
        </is>
      </c>
      <c r="E83" s="41" t="inlineStr">
        <is>
          <t>Gerçek FC + sitl_mission.json</t>
        </is>
      </c>
      <c r="F83" s="41" t="inlineStr">
        <is>
          <t>WBS 10.3</t>
        </is>
      </c>
      <c r="G83" s="41" t="inlineStr">
        <is>
          <t>hitl_setup.py  # FC→USB HITL; sensor sim in-loop; latency ölç
# MAVLink heartbeat; HITL_SENSOR mesajı; latency ≤ 20 ms</t>
        </is>
      </c>
      <c r="H83" s="41" t="inlineStr">
        <is>
          <t>hitl.json: latency_ms, sensor_noise_impact, ctrl_authority_flag, heartbeat_OK</t>
        </is>
      </c>
      <c r="I83" s="41" t="inlineStr">
        <is>
          <t>HITL gecikme ≤ 20 ms; FC SITL ile tutarlı</t>
        </is>
      </c>
      <c r="J83" s="41" t="inlineStr">
        <is>
          <t>DO-160G §14 | PX4 HITL Guide</t>
        </is>
      </c>
    </row>
    <row r="84" ht="48" customHeight="1">
      <c r="A84" s="14" t="inlineStr">
        <is>
          <t>WBS 10.7</t>
        </is>
      </c>
      <c r="B84" s="15" t="inlineStr">
        <is>
          <t>AŞAMA 10 SITL &amp; HITL Simülasyo</t>
        </is>
      </c>
      <c r="C84" s="15" t="inlineStr">
        <is>
          <t>Uçuş Log Otomatik Analiz Pipeline (Anomali Tespiti)  [NEW-v4]</t>
        </is>
      </c>
      <c r="D84" s="15" t="inlineStr">
        <is>
          <t>LLM (Python) + MAVLink Inspector</t>
        </is>
      </c>
      <c r="E84" s="15" t="inlineStr">
        <is>
          <t>sitl_hover.json + sitl_mission.json + all_flight_logs/*.ulg</t>
        </is>
      </c>
      <c r="F84" s="15" t="inlineStr">
        <is>
          <t>WBS 10.2 + WBS 10.3 + WBS 10.4</t>
        </is>
      </c>
      <c r="G84" s="15" t="inlineStr">
        <is>
          <t>log_pipeline.py  # pyulog: .ulg → pandas DataFrame
# Anomali tespiti: 3σ kural; IQR outlier; FFT spektrum
# Otomatik rap</t>
        </is>
      </c>
      <c r="H84" s="15" t="inlineStr">
        <is>
          <t>log_analysis.json: anomaly_score, flagged_params[], roll_rms_hist[], vib_fft[], status_report</t>
        </is>
      </c>
      <c r="I84" s="15" t="inlineStr">
        <is>
          <t>Tüm log dosyaları işlenmiş; anomali_score &lt; 0.3 → normal; flagged_params = []</t>
        </is>
      </c>
      <c r="J84" s="15" t="inlineStr">
        <is>
          <t>PX4 uLog Format | MAVLink Inspector | EASA DVR §4.2  [NEW]</t>
        </is>
      </c>
    </row>
    <row r="85" ht="24" customHeight="1">
      <c r="A85" s="42" t="inlineStr">
        <is>
          <t>WBS 11.0</t>
        </is>
      </c>
      <c r="B85" s="42" t="inlineStr">
        <is>
          <t>AŞAMA 11 Fiziksel Test &amp; Doğrulama</t>
        </is>
      </c>
      <c r="C85" s="42" t="inlineStr"/>
      <c r="D85" s="42" t="inlineStr"/>
      <c r="E85" s="42" t="inlineStr"/>
      <c r="F85" s="42" t="inlineStr"/>
      <c r="G85" s="42" t="inlineStr"/>
      <c r="H85" s="42" t="inlineStr"/>
      <c r="I85" s="42" t="inlineStr"/>
      <c r="J85" s="42" t="inlineStr"/>
    </row>
    <row r="86" ht="48" customHeight="1">
      <c r="A86" s="43" t="inlineStr">
        <is>
          <t>WBS 11.1</t>
        </is>
      </c>
      <c r="B86" s="44" t="inlineStr">
        <is>
          <t>AŞAMA 11 Fiziksel Test &amp; Doğru</t>
        </is>
      </c>
      <c r="C86" s="44" t="inlineStr">
        <is>
          <t>Statik İtki Testi (Test Standı)</t>
        </is>
      </c>
      <c r="D86" s="44" t="inlineStr">
        <is>
          <t>Python DAQ + loadcell</t>
        </is>
      </c>
      <c r="E86" s="44" t="inlineStr">
        <is>
          <t>propeller.json + motor.json + bemt.json</t>
        </is>
      </c>
      <c r="F86" s="44" t="inlineStr">
        <is>
          <t>WBS 3.9</t>
        </is>
      </c>
      <c r="G86" s="44" t="inlineStr">
        <is>
          <t>bench_test.py  # Loadcell+tachometer+power meter; CT/CQ/FM@5 RPM noktası
# FFT: 1P harmonik; BEMT karşılaştırma</t>
        </is>
      </c>
      <c r="H86" s="44" t="inlineStr">
        <is>
          <t>bench.json: T_meas_N[], P_meas_W[], FM_meas[], CT_meas, bemt_err_pct</t>
        </is>
      </c>
      <c r="I86" s="44" t="inlineStr">
        <is>
          <t>FM_meas ≥ 0.60; BEMT hata ≤ %10; 5 RPM noktası (KK-2)</t>
        </is>
      </c>
      <c r="J86" s="44" t="inlineStr">
        <is>
          <t>ASTM F3002 §8 | SAE ARP5247 | ISO 3744</t>
        </is>
      </c>
    </row>
    <row r="87" ht="48" customHeight="1">
      <c r="A87" s="43" t="inlineStr">
        <is>
          <t>WBS 11.2</t>
        </is>
      </c>
      <c r="B87" s="44" t="inlineStr">
        <is>
          <t>AŞAMA 11 Fiziksel Test &amp; Doğru</t>
        </is>
      </c>
      <c r="C87" s="44" t="inlineStr">
        <is>
          <t>Pervane Balans Doğrulama Testi</t>
        </is>
      </c>
      <c r="D87" s="44" t="inlineStr">
        <is>
          <t>IMU log + tachometer</t>
        </is>
      </c>
      <c r="E87" s="44" t="inlineStr">
        <is>
          <t>balance_procedure.md + RPM_hover</t>
        </is>
      </c>
      <c r="F87" s="44" t="inlineStr">
        <is>
          <t>WBS 3.8+11.1</t>
        </is>
      </c>
      <c r="G87" s="44" t="inlineStr">
        <is>
          <t>balance_verify.py  # IMU FFT @ RPM_hover; 1P harmonik; ISO 1940 G1 doğrulama
# U_res = m × e_meas; U_perm(G1, RPM) = 954</t>
        </is>
      </c>
      <c r="H87" s="44" t="inlineStr">
        <is>
          <t>balance_verify.json: vib_1P_g, vib_rms_g, U_residual_g_mm, ISO1940_OK</t>
        </is>
      </c>
      <c r="I87" s="44" t="inlineStr">
        <is>
          <t>1P ≤ 0.05 g; RMS ≤ 0.1 g; ISO 1940 G1 karşılanmış</t>
        </is>
      </c>
      <c r="J87" s="44" t="inlineStr">
        <is>
          <t>ISO 1940-1 | PX4 Vibration</t>
        </is>
      </c>
    </row>
    <row r="88" ht="48" customHeight="1">
      <c r="A88" s="14" t="inlineStr">
        <is>
          <t>WBS 11.3</t>
        </is>
      </c>
      <c r="B88" s="15" t="inlineStr">
        <is>
          <t>AŞAMA 11 Fiziksel Test &amp; Doğru</t>
        </is>
      </c>
      <c r="C88" s="15" t="inlineStr">
        <is>
          <t>Çevre Testi (DO-160G Kategorileri)</t>
        </is>
      </c>
      <c r="D88" s="15" t="inlineStr">
        <is>
          <t>Test odası + Python DAQ  [NEW]</t>
        </is>
      </c>
      <c r="E88" s="15" t="inlineStr">
        <is>
          <t>env_prot.json + regulation.json: DO160_class</t>
        </is>
      </c>
      <c r="F88" s="15" t="inlineStr">
        <is>
          <t>WBS 6.6+1.3</t>
        </is>
      </c>
      <c r="G88" s="15" t="inlineStr">
        <is>
          <t xml:space="preserve">env_test.py  # DO-160G §4 sıcaklık: -20°C..+55°C siklus
# §8 titreşim: 5-2000 Hz random; §14 nem: %95 @ 40°C
# Her test </t>
        </is>
      </c>
      <c r="H88" s="15" t="inlineStr">
        <is>
          <t>env_test.json: temp_test_pass, vib_test_pass, humidity_test_pass, DO160_class</t>
        </is>
      </c>
      <c r="I88" s="15" t="inlineStr">
        <is>
          <t>Tüm DO-160G kategorileri PASS; işlevsellik her test sonrası OK</t>
        </is>
      </c>
      <c r="J88" s="15" t="inlineStr">
        <is>
          <t>DO-160G §4,§8,§14,§20 — [NEW: çevre testi eklendi]</t>
        </is>
      </c>
    </row>
    <row r="89" ht="48" customHeight="1">
      <c r="A89" s="43" t="inlineStr">
        <is>
          <t>WBS 11.4</t>
        </is>
      </c>
      <c r="B89" s="44" t="inlineStr">
        <is>
          <t>AŞAMA 11 Fiziksel Test &amp; Doğru</t>
        </is>
      </c>
      <c r="C89" s="44" t="inlineStr">
        <is>
          <t>Bağlı (Tethered) Hover Testi</t>
        </is>
      </c>
      <c r="D89" s="44" t="inlineStr">
        <is>
          <t>Gerçek donanım + flight log</t>
        </is>
      </c>
      <c r="E89" s="44" t="inlineStr">
        <is>
          <t>controller.json + mc_model</t>
        </is>
      </c>
      <c r="F89" s="44" t="inlineStr">
        <is>
          <t>WBS 11.1+10.2</t>
        </is>
      </c>
      <c r="G89" s="44" t="inlineStr">
        <is>
          <t>tethered.py  # 120 s bağlı hover; IMU log; vibrasyon; bat drain
# Tether kuvveti ≤ 0.05 × MTOW × g (serbest hover yaklaş</t>
        </is>
      </c>
      <c r="H89" s="44" t="inlineStr">
        <is>
          <t>tethered.json: hover_stable_s, vib_g_rms, bat_drain_Ah, tether_force_N</t>
        </is>
      </c>
      <c r="I89" s="44" t="inlineStr">
        <is>
          <t>Kararlı hover ≥ 120 s; IMU ≤ 0.3 g RMS; tether kuvveti küçük</t>
        </is>
      </c>
      <c r="J89" s="44" t="inlineStr">
        <is>
          <t>EASA AMC RPAS.1309 | ARP4761 §C</t>
        </is>
      </c>
    </row>
    <row r="90" ht="48" customHeight="1">
      <c r="A90" s="43" t="inlineStr">
        <is>
          <t>WBS 11.5</t>
        </is>
      </c>
      <c r="B90" s="44" t="inlineStr">
        <is>
          <t>AŞAMA 11 Fiziksel Test &amp; Doğru</t>
        </is>
      </c>
      <c r="C90" s="44" t="inlineStr">
        <is>
          <t>Serbest Uçuş &amp; Performans Doğrulama</t>
        </is>
      </c>
      <c r="D90" s="44" t="inlineStr">
        <is>
          <t>Uçuş log + Python</t>
        </is>
      </c>
      <c r="E90" s="44" t="inlineStr">
        <is>
          <t>tethered.json + requirements.json</t>
        </is>
      </c>
      <c r="F90" s="44" t="inlineStr">
        <is>
          <t>WBS 11.4+1.2</t>
        </is>
      </c>
      <c r="G90" s="44" t="inlineStr">
        <is>
          <t>flight_verify.py  # t_hover, V_max, range, payload; log analizi</t>
        </is>
      </c>
      <c r="H90" s="44" t="inlineStr">
        <is>
          <t>flight.json: t_hover_meas_min, V_max_meas_ms, payload_OK, range_km_meas</t>
        </is>
      </c>
      <c r="I90" s="44" t="inlineStr">
        <is>
          <t>Tüm performans ≤ %5 toleransla karşılanmış (KK-3, KK-12)</t>
        </is>
      </c>
      <c r="J90" s="44" t="inlineStr">
        <is>
          <t>FAA AC 21.17-1A | DO-160G | STANAG 4703</t>
        </is>
      </c>
    </row>
    <row r="91" ht="48" customHeight="1">
      <c r="A91" s="43" t="inlineStr">
        <is>
          <t>WBS 11.6</t>
        </is>
      </c>
      <c r="B91" s="44" t="inlineStr">
        <is>
          <t>AŞAMA 11 Fiziksel Test &amp; Doğru</t>
        </is>
      </c>
      <c r="C91" s="44" t="inlineStr">
        <is>
          <t>FMEA / FTA Güvenlik Değerlendirmesi</t>
        </is>
      </c>
      <c r="D91" s="44" t="inlineStr">
        <is>
          <t>LLM (Python)+FTA</t>
        </is>
      </c>
      <c r="E91" s="44" t="inlineStr">
        <is>
          <t>system_arch.json + failure_modes.json</t>
        </is>
      </c>
      <c r="F91" s="44" t="inlineStr">
        <is>
          <t>WBS 11.5</t>
        </is>
      </c>
      <c r="G91" s="44" t="inlineStr">
        <is>
          <t>fmea_fta.py  # FMEA: her bileşen × şiddet × olasılık × tespit
# FTA: top event 'Uncontrolled landing' → minimal cut sets</t>
        </is>
      </c>
      <c r="H91" s="44" t="inlineStr">
        <is>
          <t>safety.json: FMEA_table[], FTA_probability, RPN_max, SAIL_compliance_flag</t>
        </is>
      </c>
      <c r="I91" s="44" t="inlineStr">
        <is>
          <t>P(katastrofik) ≤ 10⁻⁷/saat; RPN_max ≤ 100; SAIL_compliance: True</t>
        </is>
      </c>
      <c r="J91" s="44" t="inlineStr">
        <is>
          <t>ARP4761A | JARUS SORA OSO tablosu | ED-135</t>
        </is>
      </c>
    </row>
    <row r="92" ht="48" customHeight="1">
      <c r="A92" s="14" t="inlineStr">
        <is>
          <t>WBS 11.7</t>
        </is>
      </c>
      <c r="B92" s="15" t="inlineStr">
        <is>
          <t>AŞAMA 11 Fiziksel Test &amp; Doğru</t>
        </is>
      </c>
      <c r="C92" s="15" t="inlineStr">
        <is>
          <t>Yazılım Doğrulama &amp; DO-178C Uyumluluk Değerlendirmesi  [NEW-v4]</t>
        </is>
      </c>
      <c r="D92" s="15" t="inlineStr">
        <is>
          <t>LLM (Python) + pytest + gcovr</t>
        </is>
      </c>
      <c r="E92" s="15" t="inlineStr">
        <is>
          <t>firmware_config.json + dual_imu.json + regulation.json: SAIL_level</t>
        </is>
      </c>
      <c r="F92" s="15" t="inlineStr">
        <is>
          <t>WBS 7.9 + WBS 7.10 + WBS 1.3</t>
        </is>
      </c>
      <c r="G92" s="15" t="inlineStr">
        <is>
          <t>sw_validation.py  # DO-178C DAL-C hedefleme
# Kod kapsama: gcovr → statement ≥80%, MC/DC ≥70%
# Test traceability: requi</t>
        </is>
      </c>
      <c r="H92" s="15" t="inlineStr">
        <is>
          <t>sw_validation.json: DAL_level, stmt_coverage_pct, MCDC_coverage_pct, MISRA_violations, traceability_matrix</t>
        </is>
      </c>
      <c r="I92" s="15" t="inlineStr">
        <is>
          <t>DAL seviyesi SAIL ile uyumlu; statement coverage ≥ 80%; MISRA critical = 0</t>
        </is>
      </c>
      <c r="J92" s="15" t="inlineStr">
        <is>
          <t>DO-178C Level C | EASA SC-VTOL §2580 | IEC 62443-4-1  [NEW]</t>
        </is>
      </c>
    </row>
    <row r="93" ht="24" customHeight="1">
      <c r="A93" s="45" t="inlineStr">
        <is>
          <t>WBS 12.0</t>
        </is>
      </c>
      <c r="B93" s="45" t="inlineStr">
        <is>
          <t>AŞAMA 12 Üretim &amp; Montaj</t>
        </is>
      </c>
      <c r="C93" s="45" t="inlineStr"/>
      <c r="D93" s="45" t="inlineStr"/>
      <c r="E93" s="45" t="inlineStr"/>
      <c r="F93" s="45" t="inlineStr"/>
      <c r="G93" s="45" t="inlineStr"/>
      <c r="H93" s="45" t="inlineStr"/>
      <c r="I93" s="45" t="inlineStr"/>
      <c r="J93" s="45" t="inlineStr"/>
    </row>
    <row r="94" ht="48" customHeight="1">
      <c r="A94" s="46" t="inlineStr">
        <is>
          <t>WBS 12.1</t>
        </is>
      </c>
      <c r="B94" s="47" t="inlineStr">
        <is>
          <t>AŞAMA 12 Üretim &amp; Montaj</t>
        </is>
      </c>
      <c r="C94" s="47" t="inlineStr">
        <is>
          <t>Bileşen Tedarik &amp; BOM Yönetimi</t>
        </is>
      </c>
      <c r="D94" s="47" t="inlineStr">
        <is>
          <t>LLM (Python)</t>
        </is>
      </c>
      <c r="E94" s="47" t="inlineStr">
        <is>
          <t>arm_sizing+motor+esc+battery+avionics+cables JSONs</t>
        </is>
      </c>
      <c r="F94" s="47" t="inlineStr">
        <is>
          <t>WBS 6.1+3.6+3.7+4.2+4.5</t>
        </is>
      </c>
      <c r="G94" s="47" t="inlineStr">
        <is>
          <t>bom_gen.py  # Bill of Materials; tedarikçi; stok; maliyet; lead time
# BOM hierarchy: L0 sistem → L1 alt-sistem → L2 bil</t>
        </is>
      </c>
      <c r="H94" s="47" t="inlineStr">
        <is>
          <t>bom.json: items[], quantities[], suppliers[], unit_cost_USD[], lead_time_days[], total_cost</t>
        </is>
      </c>
      <c r="I94" s="47" t="inlineStr">
        <is>
          <t>BOM tüm bileşenleri kapsar; maliyet bütçe dahilinde; lead time analizi</t>
        </is>
      </c>
      <c r="J94" s="47" t="inlineStr">
        <is>
          <t>AS9102 | IPC-7711 | ISO 9001:2015</t>
        </is>
      </c>
    </row>
    <row r="95" ht="48" customHeight="1">
      <c r="A95" s="46" t="inlineStr">
        <is>
          <t>WBS 12.2</t>
        </is>
      </c>
      <c r="B95" s="47" t="inlineStr">
        <is>
          <t>AŞAMA 12 Üretim &amp; Montaj</t>
        </is>
      </c>
      <c r="C95" s="47" t="inlineStr">
        <is>
          <t>Montaj Sırası &amp; Prosedür Üretimi</t>
        </is>
      </c>
      <c r="D95" s="47" t="inlineStr">
        <is>
          <t>LLM (Markdown üretimi)</t>
        </is>
      </c>
      <c r="E95" s="47" t="inlineStr">
        <is>
          <t>bom.json + geometry.json + arm_design.json</t>
        </is>
      </c>
      <c r="F95" s="47" t="inlineStr">
        <is>
          <t>WBS 12.1+2.5</t>
        </is>
      </c>
      <c r="G95" s="47" t="inlineStr">
        <is>
          <t>assembly_proc.py  # Adım adım montaj; tork değerleri; ESD önlemleri
# CFRP: toz koruması; batarya: yangın önlemi; elektr</t>
        </is>
      </c>
      <c r="H95" s="47" t="inlineStr">
        <is>
          <t>assembly_procedure.md: adımlar[], tork_specs[], ESD_precautions[], test_checkpoints[]</t>
        </is>
      </c>
      <c r="I95" s="47" t="inlineStr">
        <is>
          <t>Montaj prosedürü eksiksiz; tork değerleri Nm'de; ESD önlemleri belirtilmiş</t>
        </is>
      </c>
      <c r="J95" s="47" t="inlineStr">
        <is>
          <t>IPC-7711 | AS9100D | MIL-HDBK-516C §1</t>
        </is>
      </c>
    </row>
    <row r="96" ht="48" customHeight="1">
      <c r="A96" s="46" t="inlineStr">
        <is>
          <t>WBS 12.3</t>
        </is>
      </c>
      <c r="B96" s="47" t="inlineStr">
        <is>
          <t>AŞAMA 12 Üretim &amp; Montaj</t>
        </is>
      </c>
      <c r="C96" s="47" t="inlineStr">
        <is>
          <t>Kalite Kontrol &amp; Kabul Testi Prosedürü</t>
        </is>
      </c>
      <c r="D96" s="47" t="inlineStr">
        <is>
          <t>LLM (Python+Prosedür)</t>
        </is>
      </c>
      <c r="E96" s="47" t="inlineStr">
        <is>
          <t>bom.json + requirements.json + all_KK_results</t>
        </is>
      </c>
      <c r="F96" s="47" t="inlineStr">
        <is>
          <t>WBS 12.2+11.5</t>
        </is>
      </c>
      <c r="G96" s="47" t="inlineStr">
        <is>
          <t>qa_acceptance.py  # QC kontrol listesi; FOD kontrolü; elektrik test
# Continuity test; isolation test; functional test s</t>
        </is>
      </c>
      <c r="H96" s="47" t="inlineStr">
        <is>
          <t>qa_report.json: inspections[], pass_fail[], nonconformance[], FOD_check</t>
        </is>
      </c>
      <c r="I96" s="47" t="inlineStr">
        <is>
          <t>Tüm kabul testleri PASS; nonconformance = 0; FOD kontrolü OK</t>
        </is>
      </c>
      <c r="J96" s="47" t="inlineStr">
        <is>
          <t>AS9102 | ISO 9001:2015 | DO-160G</t>
        </is>
      </c>
    </row>
    <row r="97" ht="48" customHeight="1">
      <c r="A97" s="14" t="inlineStr">
        <is>
          <t>WBS 12.4</t>
        </is>
      </c>
      <c r="B97" s="15" t="inlineStr">
        <is>
          <t>AŞAMA 12 Üretim &amp; Montaj</t>
        </is>
      </c>
      <c r="C97" s="15" t="inlineStr">
        <is>
          <t>Operatör Eğitim Materyali &amp; Bakım Planı (TBO)  [NEW-v4]</t>
        </is>
      </c>
      <c r="D97" s="15" t="inlineStr">
        <is>
          <t>LLM (NLP + Markdown)</t>
        </is>
      </c>
      <c r="E97" s="15" t="inlineStr">
        <is>
          <t>bom.json + motor.json + flight_verify.json + assembly_procedure.md</t>
        </is>
      </c>
      <c r="F97" s="15" t="inlineStr">
        <is>
          <t>WBS 12.2 + WBS 11.5 + WBS 3.6</t>
        </is>
      </c>
      <c r="G97" s="15" t="inlineStr">
        <is>
          <t>operator_docs.py  # Kullanım kılavuzu bölümleri üret
# TBO (Time Between Overhaul): motor ömrü = motor_hours_TBO
# Motor</t>
        </is>
      </c>
      <c r="H97" s="15" t="inlineStr">
        <is>
          <t>operator_manual.md + maintenance_schedule.json: TBO_motor_h, TBO_prop_flights, battery_cycle_max, training_syllabus[]</t>
        </is>
      </c>
      <c r="I97" s="15" t="inlineStr">
        <is>
          <t>TBO hesaplanmış; bakım takvimi komponent bazında; eğitim müfredatı tanımlanmış</t>
        </is>
      </c>
      <c r="J97" s="15" t="inlineStr">
        <is>
          <t>EASA ORO.GEN.110 | JARUS SORA OSO#17 | AS9100D §7.2  [NEW]</t>
        </is>
      </c>
    </row>
    <row r="98" ht="48" customHeight="1">
      <c r="A98" s="14" t="inlineStr">
        <is>
          <t>WBS 12.5</t>
        </is>
      </c>
      <c r="B98" s="15" t="inlineStr">
        <is>
          <t>AŞAMA 12 Üretim &amp; Montaj</t>
        </is>
      </c>
      <c r="C98" s="15" t="inlineStr">
        <is>
          <t>Taşıma, Paketleme &amp; Lojistik Gereksinimleri  [NEW-v4]</t>
        </is>
      </c>
      <c r="D98" s="15" t="inlineStr">
        <is>
          <t>LLM (Python + Spec Parser)</t>
        </is>
      </c>
      <c r="E98" s="15" t="inlineStr">
        <is>
          <t>battery.json: Wh + bom.json: weight_total_kg + regulation.json</t>
        </is>
      </c>
      <c r="F98" s="15" t="inlineStr">
        <is>
          <t>WBS 12.1 + WBS 4.2 + WBS 1.3</t>
        </is>
      </c>
      <c r="G98" s="15" t="inlineStr">
        <is>
          <t>logistics.py  # Taşıma sınıflandırması
# IATA: LiPo &gt; 100Wh → Sınıf 9 tehlikeli madde
# UN 3480 (tek) / UN 3481 (ekipman</t>
        </is>
      </c>
      <c r="H98" s="15" t="inlineStr">
        <is>
          <t>logistics.json: IATA_class, UN_number, package_dims_mm, temp_requirements, dangerous_goods_flag</t>
        </is>
      </c>
      <c r="I98" s="15" t="inlineStr">
        <is>
          <t>IATA sınıflandırması doğru; UN numarası atanmış; tehlikeli madde ise DGD belgesi</t>
        </is>
      </c>
      <c r="J98" s="15" t="inlineStr">
        <is>
          <t>IATA DGR 65th Ed. | UN 38.3 | ICAO Doc 9284 | ADR/RID  [NEW]</t>
        </is>
      </c>
    </row>
    <row r="99" ht="24" customHeight="1">
      <c r="A99" s="48" t="inlineStr">
        <is>
          <t>WBS 13.0</t>
        </is>
      </c>
      <c r="B99" s="48" t="inlineStr">
        <is>
          <t>AŞAMA 13 MDAO Optimizasyon Döngüsü</t>
        </is>
      </c>
      <c r="C99" s="48" t="inlineStr"/>
      <c r="D99" s="48" t="inlineStr"/>
      <c r="E99" s="48" t="inlineStr"/>
      <c r="F99" s="48" t="inlineStr"/>
      <c r="G99" s="48" t="inlineStr"/>
      <c r="H99" s="48" t="inlineStr"/>
      <c r="I99" s="48" t="inlineStr"/>
      <c r="J99" s="48" t="inlineStr"/>
    </row>
    <row r="100" ht="48" customHeight="1">
      <c r="A100" s="49" t="inlineStr">
        <is>
          <t>WBS 13.1</t>
        </is>
      </c>
      <c r="B100" s="50" t="inlineStr">
        <is>
          <t>AŞAMA 13 MDAO Optimizasyon Dön</t>
        </is>
      </c>
      <c r="C100" s="50" t="inlineStr">
        <is>
          <t>OpenMDAO Problem Tanımı &amp; Bağlantı Şeması</t>
        </is>
      </c>
      <c r="D100" s="50" t="inlineStr">
        <is>
          <t>OpenMDAO + Python</t>
        </is>
      </c>
      <c r="E100" s="50" t="inlineStr">
        <is>
          <t>Tüm WBS 1-12 JSON çıktıları</t>
        </is>
      </c>
      <c r="F100" s="50" t="inlineStr">
        <is>
          <t>WBS 1-12 tümü</t>
        </is>
      </c>
      <c r="G100" s="50" t="inlineStr">
        <is>
          <t xml:space="preserve">mdao_setup.py  # IndepVarComp; ExecComp; connections; SLSQP driver
# Design vars: D_rotor, n_rotors, S_battery, K_lqr
# </t>
        </is>
      </c>
      <c r="H100" s="50" t="inlineStr">
        <is>
          <t>mdao_problem.json: design_vars[], constraints[], objectives[], connections[], driver</t>
        </is>
      </c>
      <c r="I100" s="50" t="inlineStr">
        <is>
          <t>Convergence ≤ 1e-6; tüm bağlantılar aktif; constraints feasible</t>
        </is>
      </c>
      <c r="J100" s="50" t="inlineStr">
        <is>
          <t>OpenMDAO 3.x Docs | MDAO metodoloji</t>
        </is>
      </c>
    </row>
    <row r="101" ht="48" customHeight="1">
      <c r="A101" s="49" t="inlineStr">
        <is>
          <t>WBS 13.2</t>
        </is>
      </c>
      <c r="B101" s="50" t="inlineStr">
        <is>
          <t>AŞAMA 13 MDAO Optimizasyon Dön</t>
        </is>
      </c>
      <c r="C101" s="50" t="inlineStr">
        <is>
          <t>Otomatik KK Döngüsü &amp; Geri Besleme</t>
        </is>
      </c>
      <c r="D101" s="50" t="inlineStr">
        <is>
          <t>LLM (Python+OpenMDAO)</t>
        </is>
      </c>
      <c r="E101" s="50" t="inlineStr">
        <is>
          <t>mdao_problem.json + all_KK_results</t>
        </is>
      </c>
      <c r="F101" s="50" t="inlineStr">
        <is>
          <t>WBS 13.1</t>
        </is>
      </c>
      <c r="G101" s="50" t="inlineStr">
        <is>
          <t xml:space="preserve">kk_loop.py  # Pydantic tüm şemalar; fail→WBS geri dön; max_iter=5
# Eskalasyon: iter≥5 → escalation_report.json → human </t>
        </is>
      </c>
      <c r="H101" s="50" t="inlineStr">
        <is>
          <t>kk_summary.json: kk1..kk12_pass[], iteration_count, converged_flag, escalation_flag</t>
        </is>
      </c>
      <c r="I101" s="50" t="inlineStr">
        <is>
          <t>Tüm 12 KK PASS; convergence ≤ 5 iterasyon</t>
        </is>
      </c>
      <c r="J101" s="50" t="inlineStr">
        <is>
          <t>OpenMDAO | Pydantic v2</t>
        </is>
      </c>
    </row>
    <row r="102" ht="48" customHeight="1">
      <c r="A102" s="14" t="inlineStr">
        <is>
          <t>WBS 13.3</t>
        </is>
      </c>
      <c r="B102" s="15" t="inlineStr">
        <is>
          <t>AŞAMA 13 MDAO Optimizasyon Dön</t>
        </is>
      </c>
      <c r="C102" s="15" t="inlineStr">
        <is>
          <t>Sensitivite Analizi  [NEW]</t>
        </is>
      </c>
      <c r="D102" s="15" t="inlineStr">
        <is>
          <t>LLM (Python)+OpenMDAO</t>
        </is>
      </c>
      <c r="E102" s="15" t="inlineStr">
        <is>
          <t>mdao_problem.json + design_vars[]</t>
        </is>
      </c>
      <c r="F102" s="15" t="inlineStr">
        <is>
          <t>WBS 13.1</t>
        </is>
      </c>
      <c r="G102" s="15" t="inlineStr">
        <is>
          <t xml:space="preserve">sensitivity.py  # Toplam türev (total_derivatives) analizi
# dObjective/dDesignVar; FAST (Fourier Amplitude Sensitivity </t>
        </is>
      </c>
      <c r="H102" s="15" t="inlineStr">
        <is>
          <t>sensitivity.json: dObj_dVar{}, S1_indices{}, ST_indices{}, critical_vars[]</t>
        </is>
      </c>
      <c r="I102" s="15" t="inlineStr">
        <is>
          <t>Kritik tasarım değişkenleri belirlendi; sensitivite indeksleri hesaplandı</t>
        </is>
      </c>
      <c r="J102" s="15" t="inlineStr">
        <is>
          <t>OpenMDAO total_derivatives | Saltelli 2008 FAST — [NEW]</t>
        </is>
      </c>
    </row>
    <row r="103" ht="48" customHeight="1">
      <c r="A103" s="49" t="inlineStr">
        <is>
          <t>WBS 13.4</t>
        </is>
      </c>
      <c r="B103" s="50" t="inlineStr">
        <is>
          <t>AŞAMA 13 MDAO Optimizasyon Dön</t>
        </is>
      </c>
      <c r="C103" s="50" t="inlineStr">
        <is>
          <t>Pareto Analizi &amp; Tasarım Uzayı Keşfi</t>
        </is>
      </c>
      <c r="D103" s="50" t="inlineStr">
        <is>
          <t>LLM (Python)</t>
        </is>
      </c>
      <c r="E103" s="50" t="inlineStr">
        <is>
          <t>mdao_problem.json + design_space_bounds</t>
        </is>
      </c>
      <c r="F103" s="50" t="inlineStr">
        <is>
          <t>WBS 13.1+13.3</t>
        </is>
      </c>
      <c r="G103" s="50" t="inlineStr">
        <is>
          <t>pareto.py  # NSGA-II: T/W vs endurance Pareto frontier
# pymoo: minimize(MTOW, -endurance); subject to all KK constraint</t>
        </is>
      </c>
      <c r="H103" s="50" t="inlineStr">
        <is>
          <t>pareto.json: frontier_points[], selected_point{}, design_vars_optimal[], justification</t>
        </is>
      </c>
      <c r="I103" s="50" t="inlineStr">
        <is>
          <t>Pareto sınırı ≥ 20 nokta; seçilen nokta tüm KK'ları sağlıyor</t>
        </is>
      </c>
      <c r="J103" s="50" t="inlineStr">
        <is>
          <t>NSGA-II Deb 2002 | pymoo | OpenMDAO pyOptSparse</t>
        </is>
      </c>
    </row>
    <row r="104" ht="48" customHeight="1">
      <c r="A104" s="14" t="inlineStr">
        <is>
          <t>WBS 13.5</t>
        </is>
      </c>
      <c r="B104" s="15" t="inlineStr">
        <is>
          <t>AŞAMA 13 MDAO Optimizasyon Dön</t>
        </is>
      </c>
      <c r="C104" s="15" t="inlineStr">
        <is>
          <t>Performans Zarfı: Çoklu Irtifa &amp; Sıcaklık Analizi  [NEW-v4]</t>
        </is>
      </c>
      <c r="D104" s="15" t="inlineStr">
        <is>
          <t>LLM (Python)</t>
        </is>
      </c>
      <c r="E104" s="15" t="inlineStr">
        <is>
          <t>thrust_chain.json + battery.json + momentum.json + ISA_model</t>
        </is>
      </c>
      <c r="F104" s="15" t="inlineStr">
        <is>
          <t>WBS 3.1 + WBS 4.7 + WBS 5.3</t>
        </is>
      </c>
      <c r="G104" s="15" t="inlineStr">
        <is>
          <t xml:space="preserve">perf_envelope.py  # ISA ± sıcaklık sapması modeli
# ρ(alt, ΔT) = ρ_ISA × (1 - ΔT/T_ISA)^4.256
# T_hover(alt, ΔT) = f(ρ) </t>
        </is>
      </c>
      <c r="H104" s="15" t="inlineStr">
        <is>
          <t>perf_envelope.json: alt_range_m[], temp_offset_C[], TW_matrix[][], endurance_matrix[][], max_alt_m</t>
        </is>
      </c>
      <c r="I104" s="15" t="inlineStr">
        <is>
          <t>T/W ≥ 1.5 @ en kötü durum (max alt + ISA+35°C); performans matrisi tam doldurulmuş</t>
        </is>
      </c>
      <c r="J104" s="15" t="inlineStr">
        <is>
          <t>ICAO Doc 8168 PANS-OPS | NDARC NASA/TM-2015 | ISA Standard  [NEW]</t>
        </is>
      </c>
    </row>
    <row r="105" ht="24" customHeight="1">
      <c r="A105" s="51" t="inlineStr">
        <is>
          <t>WBS 14.0</t>
        </is>
      </c>
      <c r="B105" s="51" t="inlineStr">
        <is>
          <t>AŞAMA 14 LLM Sentez &amp; Teknik Rapor</t>
        </is>
      </c>
      <c r="C105" s="51" t="inlineStr"/>
      <c r="D105" s="51" t="inlineStr"/>
      <c r="E105" s="51" t="inlineStr"/>
      <c r="F105" s="51" t="inlineStr"/>
      <c r="G105" s="51" t="inlineStr"/>
      <c r="H105" s="51" t="inlineStr"/>
      <c r="I105" s="51" t="inlineStr"/>
      <c r="J105" s="51" t="inlineStr"/>
    </row>
    <row r="106" ht="48" customHeight="1">
      <c r="A106" s="52" t="inlineStr">
        <is>
          <t>WBS 14.1</t>
        </is>
      </c>
      <c r="B106" s="53" t="inlineStr">
        <is>
          <t>AŞAMA 14 LLM Sentez &amp; Teknik R</t>
        </is>
      </c>
      <c r="C106" s="53" t="inlineStr">
        <is>
          <t>Yönetici Özeti &amp; KK Tablosu</t>
        </is>
      </c>
      <c r="D106" s="53" t="inlineStr">
        <is>
          <t>LLM (NLP)</t>
        </is>
      </c>
      <c r="E106" s="53" t="inlineStr">
        <is>
          <t>kk_summary.json + tüm WBS çıktıları</t>
        </is>
      </c>
      <c r="F106" s="53" t="inlineStr">
        <is>
          <t>WBS 13.2</t>
        </is>
      </c>
      <c r="G106" s="53" t="inlineStr">
        <is>
          <t>report_exec.py  # Tasarım amacı; KK özet tablo; kritik bulgular
# 1 sayfa; tablo: KK kodu | değer | sınır | durum (✅/❌)</t>
        </is>
      </c>
      <c r="H106" s="53" t="inlineStr">
        <is>
          <t>Yönetici Özeti (1 sayfa) + KK Tablosu (12+1 satır = tüm KK)</t>
        </is>
      </c>
      <c r="I106" s="53" t="inlineStr">
        <is>
          <t>Tüm KK PASS; rapor tutarlı ve özlü</t>
        </is>
      </c>
      <c r="J106" s="53" t="inlineStr">
        <is>
          <t>AIAA/AHS Raporlama | EASA DVR Format</t>
        </is>
      </c>
    </row>
    <row r="107" ht="48" customHeight="1">
      <c r="A107" s="52" t="inlineStr">
        <is>
          <t>WBS 14.2</t>
        </is>
      </c>
      <c r="B107" s="53" t="inlineStr">
        <is>
          <t>AŞAMA 14 LLM Sentez &amp; Teknik R</t>
        </is>
      </c>
      <c r="C107" s="53" t="inlineStr">
        <is>
          <t>Sistem Tasarım Bölümleri (Bölüm 1-5)</t>
        </is>
      </c>
      <c r="D107" s="53" t="inlineStr">
        <is>
          <t>LLM (NLP)</t>
        </is>
      </c>
      <c r="E107" s="53" t="inlineStr">
        <is>
          <t>Tüm faz JSON çıktıları WBS 1-12</t>
        </is>
      </c>
      <c r="F107" s="53" t="inlineStr">
        <is>
          <t>WBS 1-12</t>
        </is>
      </c>
      <c r="G107" s="53" t="inlineStr">
        <is>
          <t>report_sections.py  # Jinja2 şablon; sayısal tablo; görseller
# Her bölüm ilgili JSON'dan otomatik populate
# Şekil: BEM</t>
        </is>
      </c>
      <c r="H107" s="53" t="inlineStr">
        <is>
          <t>Bölüm 1-5 Markdown: Görev/Konfig/İtki+Güç/Aerodinamik+Yapı/GNC+Test</t>
        </is>
      </c>
      <c r="I107" s="53" t="inlineStr">
        <is>
          <t>Her bölüm JSON ile kaynaklandırılmış; görseller dahil</t>
        </is>
      </c>
      <c r="J107" s="53" t="inlineStr">
        <is>
          <t>AIAA Paper Format | EASA DVR §3</t>
        </is>
      </c>
    </row>
    <row r="108" ht="48" customHeight="1">
      <c r="A108" s="52" t="inlineStr">
        <is>
          <t>WBS 14.3</t>
        </is>
      </c>
      <c r="B108" s="53" t="inlineStr">
        <is>
          <t>AŞAMA 14 LLM Sentez &amp; Teknik R</t>
        </is>
      </c>
      <c r="C108" s="53" t="inlineStr">
        <is>
          <t>FMEA Tablosu &amp; Güvenlik Bölümü</t>
        </is>
      </c>
      <c r="D108" s="53" t="inlineStr">
        <is>
          <t>LLM (NLP)</t>
        </is>
      </c>
      <c r="E108" s="53" t="inlineStr">
        <is>
          <t>safety.json + fmea.json + regulation.json</t>
        </is>
      </c>
      <c r="F108" s="53" t="inlineStr">
        <is>
          <t>WBS 11.6+1.3</t>
        </is>
      </c>
      <c r="G108" s="53" t="inlineStr">
        <is>
          <t xml:space="preserve">report_safety.py  # FMEA tablo; FTA ağacı; SORA OSO compliance tablosu
# FMEA: her satır = bileşen, arıza modu, etkisi, </t>
        </is>
      </c>
      <c r="H108" s="53" t="inlineStr">
        <is>
          <t>Güvenlik Bölümü: FMEA + FTA + SORA OSO compliance matrix</t>
        </is>
      </c>
      <c r="I108" s="53" t="inlineStr">
        <is>
          <t>P(katastrofik) &lt; 10⁻⁷; SAIL compliance belgesi tam</t>
        </is>
      </c>
      <c r="J108" s="53" t="inlineStr">
        <is>
          <t>ARP4761A | JARUS SORA | EUROCAE ED-135</t>
        </is>
      </c>
    </row>
    <row r="109" ht="48" customHeight="1">
      <c r="A109" s="9" t="inlineStr">
        <is>
          <t>WBS 14.4</t>
        </is>
      </c>
      <c r="B109" s="10" t="inlineStr">
        <is>
          <t>AŞAMA 14 LLM Sentez &amp; Teknik R</t>
        </is>
      </c>
      <c r="C109" s="10" t="inlineStr">
        <is>
          <t>Pydantic Final Doğrulama &amp; JSON Paket</t>
        </is>
      </c>
      <c r="D109" s="10" t="inlineStr">
        <is>
          <t>LLM (Python/Pydantic)</t>
        </is>
      </c>
      <c r="E109" s="10" t="inlineStr">
        <is>
          <t>Tüm faz JSON çıktıları</t>
        </is>
      </c>
      <c r="F109" s="10" t="inlineStr">
        <is>
          <t>WBS 1-13</t>
        </is>
      </c>
      <c r="G109" s="10" t="inlineStr">
        <is>
          <t xml:space="preserve">final_validate.py  # FinalDesignSchemaMC; tüm alan + cross-check
# Cross-check: T_total = n_rotors × T_per_rotor ± 1%
# </t>
        </is>
      </c>
      <c r="H109" s="10" t="inlineStr">
        <is>
          <t>final_design.json (validation_passed: True, all_kk_passed: True, cross_checks: True)</t>
        </is>
      </c>
      <c r="I109" s="10" t="inlineStr">
        <is>
          <t>Pydantic doğrulama hatasız; cross-check'ler geçildi</t>
        </is>
      </c>
      <c r="J109" s="10" t="inlineStr">
        <is>
          <t>Pydantic v2 | JSON Schema | [TECH: cross-validation eklendi]</t>
        </is>
      </c>
    </row>
    <row r="110" ht="48" customHeight="1">
      <c r="A110" s="52" t="inlineStr">
        <is>
          <t>WBS 14.5</t>
        </is>
      </c>
      <c r="B110" s="53" t="inlineStr">
        <is>
          <t>AŞAMA 14 LLM Sentez &amp; Teknik R</t>
        </is>
      </c>
      <c r="C110" s="53" t="inlineStr">
        <is>
          <t>PDF/Word Rapor İhracı &amp; Arşivleme</t>
        </is>
      </c>
      <c r="D110" s="53" t="inlineStr">
        <is>
          <t>LLM (Python)</t>
        </is>
      </c>
      <c r="E110" s="53" t="inlineStr">
        <is>
          <t>Tüm rapor bölümleri + görseller</t>
        </is>
      </c>
      <c r="F110" s="53" t="inlineStr">
        <is>
          <t>WBS 14.1-14.3</t>
        </is>
      </c>
      <c r="G110" s="53" t="inlineStr">
        <is>
          <t>export_report.py  # reportlab/python-docx; EASA DVR format
# Versiyon: MAJOR.MINOR.PATCH; git tag; SHA256 hash</t>
        </is>
      </c>
      <c r="H110" s="53" t="inlineStr">
        <is>
          <t>MultiCopter_Design_Report_v1.0.0.pdf + .docx + arşiv.zip + SHA256.txt</t>
        </is>
      </c>
      <c r="I110" s="53" t="inlineStr">
        <is>
          <t>Rapor EASA DVR formatına uygun; SHA256 hash ile bütünlük doğrulandı</t>
        </is>
      </c>
      <c r="J110" s="53" t="inlineStr">
        <is>
          <t>EASA DVR Req. | DO-178C Traceability | ISO 9001:2015 §7.5</t>
        </is>
      </c>
    </row>
    <row r="111" ht="48" customHeight="1">
      <c r="A111" s="14" t="inlineStr">
        <is>
          <t>WBS 14.6</t>
        </is>
      </c>
      <c r="B111" s="15" t="inlineStr">
        <is>
          <t>AŞAMA 14 LLM Sentez &amp; Teknik R</t>
        </is>
      </c>
      <c r="C111" s="15" t="inlineStr">
        <is>
          <t>Bow-Tie Risk Analizi &amp; Yazılım FMEA (SwFMEA)  [NEW-v4]</t>
        </is>
      </c>
      <c r="D111" s="15" t="inlineStr">
        <is>
          <t>LLM (Python) + FTA araçları</t>
        </is>
      </c>
      <c r="E111" s="15" t="inlineStr">
        <is>
          <t>safety.json + dual_imu.json + motor_health.json + sw_validation.json</t>
        </is>
      </c>
      <c r="F111" s="15" t="inlineStr">
        <is>
          <t>WBS 11.6 + WBS 7.10 + WBS 7.11 + WBS 11.7</t>
        </is>
      </c>
      <c r="G111" s="15" t="inlineStr">
        <is>
          <t>bowtie_swfmea.py  # Bow-Tie: Tehlike → Bariyerler → Sonuç
# Tehlike: 'Kontrolsüz uçuş'; Sol bariyerler: dual IMU, failsa</t>
        </is>
      </c>
      <c r="H111" s="15" t="inlineStr">
        <is>
          <t>bowtie.json: threats[], barriers_left[], barriers_right[], SwFMEA_table[], OSO_14_18_matrix</t>
        </is>
      </c>
      <c r="I111" s="15" t="inlineStr">
        <is>
          <t>Tüm kritik tehditler için Bow-Tie tamamlanmış; OSO-14..18 uyum durumu belirlenmiş</t>
        </is>
      </c>
      <c r="J111" s="15" t="inlineStr">
        <is>
          <t>IEC 61508 | ARP4761A §D | JARUS SORA OSO-14..18 | IEC 62443  [NEW]</t>
        </is>
      </c>
    </row>
    <row r="112" ht="24" customHeight="1">
      <c r="A112" s="54" t="inlineStr">
        <is>
          <t>WBS 15.0</t>
        </is>
      </c>
      <c r="B112" s="54" t="inlineStr">
        <is>
          <t>AŞAMA 15 CI/CD &amp; Yazılım Kalite Güvencesi  [N</t>
        </is>
      </c>
      <c r="C112" s="54" t="inlineStr"/>
      <c r="D112" s="54" t="inlineStr"/>
      <c r="E112" s="54" t="inlineStr"/>
      <c r="F112" s="54" t="inlineStr"/>
      <c r="G112" s="54" t="inlineStr"/>
      <c r="H112" s="54" t="inlineStr"/>
      <c r="I112" s="54" t="inlineStr"/>
      <c r="J112" s="54" t="inlineStr"/>
    </row>
    <row r="113" ht="48" customHeight="1">
      <c r="A113" s="14" t="inlineStr">
        <is>
          <t>WBS 15.1</t>
        </is>
      </c>
      <c r="B113" s="15" t="inlineStr">
        <is>
          <t>AŞAMA 15 CI/CD &amp; Yazılım Kalit</t>
        </is>
      </c>
      <c r="C113" s="15" t="inlineStr">
        <is>
          <t>CI/CD Pipeline Kurulumu (GitHub Actions / GitLab CI)  [NEW-v4]</t>
        </is>
      </c>
      <c r="D113" s="15" t="inlineStr">
        <is>
          <t>Docker + GitHub Actions + pytest</t>
        </is>
      </c>
      <c r="E113" s="15" t="inlineStr">
        <is>
          <t>firmware_config.json + sw_validation.json + all test scripts</t>
        </is>
      </c>
      <c r="F113" s="15" t="inlineStr">
        <is>
          <t>WBS 7.9 + WBS 11.7</t>
        </is>
      </c>
      <c r="G113" s="15" t="inlineStr">
        <is>
          <t>ci_setup.py  # .github/workflows/ci.yml üret
# Adımlar: lint(ruff) → typecheck(mypy) → unit test(pytest)
# → coverage(gc</t>
        </is>
      </c>
      <c r="H113" s="15" t="inlineStr">
        <is>
          <t>ci_config.yml + Dockerfile + test_results.xml + coverage_report.html</t>
        </is>
      </c>
      <c r="I113" s="15" t="inlineStr">
        <is>
          <t>CI pipeline tüm aşamaları geçiyor; coverage ≥ 80%; her commit tetikleniyor</t>
        </is>
      </c>
      <c r="J113" s="15" t="inlineStr">
        <is>
          <t>DO-178C §6 | IEEE 829 | ISO/IEC 29119  [NEW]</t>
        </is>
      </c>
    </row>
    <row r="114" ht="48" customHeight="1">
      <c r="A114" s="14" t="inlineStr">
        <is>
          <t>WBS 15.2</t>
        </is>
      </c>
      <c r="B114" s="15" t="inlineStr">
        <is>
          <t>AŞAMA 15 CI/CD &amp; Yazılım Kalit</t>
        </is>
      </c>
      <c r="C114" s="15" t="inlineStr">
        <is>
          <t>Otomatik SITL Regresyon Test Suite  [NEW-v4]</t>
        </is>
      </c>
      <c r="D114" s="15" t="inlineStr">
        <is>
          <t>Python + PX4 SITL + pytest</t>
        </is>
      </c>
      <c r="E114" s="15" t="inlineStr">
        <is>
          <t>sitl_hover.json + sitl_mission.json + kk_summary.json</t>
        </is>
      </c>
      <c r="F114" s="15" t="inlineStr">
        <is>
          <t>WBS 10.2 + WBS 10.3 + WBS 15.1</t>
        </is>
      </c>
      <c r="G114" s="15" t="inlineStr">
        <is>
          <t>sitl_regression.py  # Her PR'de otomatik SITL
# Test 1: hover_30s → roll_rms ≤ 1.0° (KK-11)
# Test 2: mission_10wpt → cr</t>
        </is>
      </c>
      <c r="H114" s="15" t="inlineStr">
        <is>
          <t>sitl_regression_results.xml: tests[], pass_fail[], kk11_check, iei_check, regression_OK</t>
        </is>
      </c>
      <c r="I114" s="15" t="inlineStr">
        <is>
          <t>Tüm 4 regresyon testi PASS; KK-11 her build'de kontrol edilmiş</t>
        </is>
      </c>
      <c r="J114" s="15" t="inlineStr">
        <is>
          <t>DO-178C §6.4 | IEEE 829-2008 | PX4 MAVSDK Test  [NEW]</t>
        </is>
      </c>
    </row>
    <row r="115" ht="48" customHeight="1">
      <c r="A115" s="14" t="inlineStr">
        <is>
          <t>WBS 15.3</t>
        </is>
      </c>
      <c r="B115" s="15" t="inlineStr">
        <is>
          <t>AŞAMA 15 CI/CD &amp; Yazılım Kalit</t>
        </is>
      </c>
      <c r="C115" s="15" t="inlineStr">
        <is>
          <t>Kod Kalite &amp; MISRA-C Statik Analiz  [NEW-v4]</t>
        </is>
      </c>
      <c r="D115" s="15" t="inlineStr">
        <is>
          <t>cppcheck + ruff + mypy + LLM</t>
        </is>
      </c>
      <c r="E115" s="15" t="inlineStr">
        <is>
          <t>fw kaynak kodu + sw_validation.json: DAL_level</t>
        </is>
      </c>
      <c r="F115" s="15" t="inlineStr">
        <is>
          <t>WBS 11.7 + WBS 15.1</t>
        </is>
      </c>
      <c r="G115" s="15" t="inlineStr">
        <is>
          <t xml:space="preserve">static_analysis.py  # MISRA-C 2012 ve Python kalite
# cppcheck: --enable=all --suppress=missingInclude
# MISRA critical </t>
        </is>
      </c>
      <c r="H115" s="15" t="inlineStr">
        <is>
          <t>static_analysis.json: MISRA_critical, MISRA_advisory, ruff_errors, mypy_errors, McCabe_max, quality_gate</t>
        </is>
      </c>
      <c r="I115" s="15" t="inlineStr">
        <is>
          <t>MISRA critical = 0; ruff errors = 0; mypy errors = 0; McCabe ≤ 10</t>
        </is>
      </c>
      <c r="J115" s="15" t="inlineStr">
        <is>
          <t>MISRA-C:2012 | AUTOSAR C++14 | ISO/IEC 25010  [NEW]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36" customWidth="1" min="4" max="4"/>
    <col width="36" customWidth="1" min="5" max="5"/>
  </cols>
  <sheetData>
    <row r="1" ht="26" customHeight="1">
      <c r="A1" s="4" t="inlineStr">
        <is>
          <t>WBS DEĞİŞİKLİK KAYDI — v1→v2→v3→v4 Tüm Değişiklikler | MultiCopter</t>
        </is>
      </c>
    </row>
    <row r="2" ht="22" customHeight="1">
      <c r="A2" s="5" t="inlineStr">
        <is>
          <t>Versiyon</t>
        </is>
      </c>
      <c r="B2" s="5" t="inlineStr">
        <is>
          <t>Tür</t>
        </is>
      </c>
      <c r="C2" s="5" t="inlineStr">
        <is>
          <t>WBS</t>
        </is>
      </c>
      <c r="D2" s="5" t="inlineStr">
        <is>
          <t>Sorun / Eski</t>
        </is>
      </c>
      <c r="E2" s="5" t="inlineStr">
        <is>
          <t>Düzeltme / Yeni</t>
        </is>
      </c>
    </row>
    <row r="3" ht="28" customHeight="1">
      <c r="A3" s="9" t="inlineStr">
        <is>
          <t>v3</t>
        </is>
      </c>
      <c r="B3" s="9" t="inlineStr">
        <is>
          <t>TECH</t>
        </is>
      </c>
      <c r="C3" s="55" t="inlineStr">
        <is>
          <t>WBS 3.2</t>
        </is>
      </c>
      <c r="D3" s="55" t="inlineStr">
        <is>
          <t>BEMT sabit phi=0.05</t>
        </is>
      </c>
      <c r="E3" s="55" t="inlineStr">
        <is>
          <t>Glauert iter |Δφ|&lt;1e-6; Prandtl tip loss</t>
        </is>
      </c>
    </row>
    <row r="4" ht="28" customHeight="1">
      <c r="A4" s="9" t="inlineStr">
        <is>
          <t>v3</t>
        </is>
      </c>
      <c r="B4" s="9" t="inlineStr">
        <is>
          <t>TECH</t>
        </is>
      </c>
      <c r="C4" s="56" t="inlineStr">
        <is>
          <t>WBS 3.4</t>
        </is>
      </c>
      <c r="D4" s="56" t="inlineStr">
        <is>
          <t>Coaxial FM 0.55</t>
        </is>
      </c>
      <c r="E4" s="56" t="inlineStr">
        <is>
          <t>FM_coax ≥ 0.60 (Leishman Fig 8.17)</t>
        </is>
      </c>
    </row>
    <row r="5" ht="28" customHeight="1">
      <c r="A5" s="9" t="inlineStr">
        <is>
          <t>v3</t>
        </is>
      </c>
      <c r="B5" s="9" t="inlineStr">
        <is>
          <t>TECH</t>
        </is>
      </c>
      <c r="C5" s="55" t="inlineStr">
        <is>
          <t>WBS 3.5</t>
        </is>
      </c>
      <c r="D5" s="55" t="inlineStr">
        <is>
          <t>KV boş yük modeli</t>
        </is>
      </c>
      <c r="E5" s="55" t="inlineStr">
        <is>
          <t>KV_loaded=RPM/(V_batt-I×R_int)</t>
        </is>
      </c>
    </row>
    <row r="6" ht="28" customHeight="1">
      <c r="A6" s="9" t="inlineStr">
        <is>
          <t>v3</t>
        </is>
      </c>
      <c r="B6" s="9" t="inlineStr">
        <is>
          <t>TECH</t>
        </is>
      </c>
      <c r="C6" s="56" t="inlineStr">
        <is>
          <t>WBS 3.7</t>
        </is>
      </c>
      <c r="D6" s="56" t="inlineStr">
        <is>
          <t>ESC sadece I_cont</t>
        </is>
      </c>
      <c r="E6" s="56" t="inlineStr">
        <is>
          <t>I_burst ≥ I_kalkış×1.10 eklendi</t>
        </is>
      </c>
    </row>
    <row r="7" ht="28" customHeight="1">
      <c r="A7" s="9" t="inlineStr">
        <is>
          <t>v3</t>
        </is>
      </c>
      <c r="B7" s="9" t="inlineStr">
        <is>
          <t>TECH</t>
        </is>
      </c>
      <c r="C7" s="55" t="inlineStr">
        <is>
          <t>WBS 6.4</t>
        </is>
      </c>
      <c r="D7" s="55" t="inlineStr">
        <is>
          <t>Campbell yanlış birim</t>
        </is>
      </c>
      <c r="E7" s="55" t="inlineStr">
        <is>
          <t>f_nat[Hz]&gt;n×(RPM/60); ±%20 marj</t>
        </is>
      </c>
    </row>
    <row r="8" ht="28" customHeight="1">
      <c r="A8" s="9" t="inlineStr">
        <is>
          <t>v3</t>
        </is>
      </c>
      <c r="B8" s="9" t="inlineStr">
        <is>
          <t>TECH</t>
        </is>
      </c>
      <c r="C8" s="56" t="inlineStr">
        <is>
          <t>WBS 7.7</t>
        </is>
      </c>
      <c r="D8" s="56" t="inlineStr">
        <is>
          <t>EKF Q/R tanımsız</t>
        </is>
      </c>
      <c r="E8" s="56" t="inlineStr">
        <is>
          <t>Q=diag([σ²]); R=diag([σ²]) tam tanım</t>
        </is>
      </c>
    </row>
    <row r="9" ht="28" customHeight="1">
      <c r="A9" s="9" t="inlineStr">
        <is>
          <t>v3</t>
        </is>
      </c>
      <c r="B9" s="9" t="inlineStr">
        <is>
          <t>TECH</t>
        </is>
      </c>
      <c r="C9" s="55" t="inlineStr">
        <is>
          <t>WBS 7.2</t>
        </is>
      </c>
      <c r="D9" s="55" t="inlineStr">
        <is>
          <t>B_matrix rank=4 yeterli değil</t>
        </is>
      </c>
      <c r="E9" s="55" t="inlineStr">
        <is>
          <t>cond(B)&lt;50 singularity check eklendi</t>
        </is>
      </c>
    </row>
    <row r="10" ht="28" customHeight="1">
      <c r="A10" s="9" t="inlineStr">
        <is>
          <t>v3</t>
        </is>
      </c>
      <c r="B10" s="9" t="inlineStr">
        <is>
          <t>TECH</t>
        </is>
      </c>
      <c r="C10" s="56" t="inlineStr">
        <is>
          <t>WBS 3.3</t>
        </is>
      </c>
      <c r="D10" s="56" t="inlineStr">
        <is>
          <t>Cheeseman-Bennett formülsüz</t>
        </is>
      </c>
      <c r="E10" s="56" t="inlineStr">
        <is>
          <t>T_IGE/T_OGE=1/(1-(D/4z)²) koda eklendi</t>
        </is>
      </c>
    </row>
    <row r="11" ht="28" customHeight="1">
      <c r="A11" s="9" t="inlineStr">
        <is>
          <t>v3</t>
        </is>
      </c>
      <c r="B11" s="9" t="inlineStr">
        <is>
          <t>TECH</t>
        </is>
      </c>
      <c r="C11" s="55" t="inlineStr">
        <is>
          <t>WBS 5.6</t>
        </is>
      </c>
      <c r="D11" s="55" t="inlineStr">
        <is>
          <t>BPM basit model</t>
        </is>
      </c>
      <c r="E11" s="55" t="inlineStr">
        <is>
          <t>FW-H thickness+loading; Mach korreksiyonu</t>
        </is>
      </c>
    </row>
    <row r="12" ht="28" customHeight="1">
      <c r="A12" s="9" t="inlineStr">
        <is>
          <t>v3</t>
        </is>
      </c>
      <c r="B12" s="9" t="inlineStr">
        <is>
          <t>TECH</t>
        </is>
      </c>
      <c r="C12" s="56" t="inlineStr">
        <is>
          <t>WBS 1.4</t>
        </is>
      </c>
      <c r="D12" s="56" t="inlineStr">
        <is>
          <t>m_misc eksik</t>
        </is>
      </c>
      <c r="E12" s="56" t="inlineStr">
        <is>
          <t>m_misc=0.03×MTOW (kablo/bağlantı/sealant)</t>
        </is>
      </c>
    </row>
    <row r="13" ht="28" customHeight="1">
      <c r="A13" s="20" t="inlineStr">
        <is>
          <t>v3</t>
        </is>
      </c>
      <c r="B13" s="20" t="inlineStr">
        <is>
          <t>STD</t>
        </is>
      </c>
      <c r="C13" s="55" t="inlineStr">
        <is>
          <t>WBS 7.7</t>
        </is>
      </c>
      <c r="D13" s="55" t="inlineStr">
        <is>
          <t>DO-316 (yok)</t>
        </is>
      </c>
      <c r="E13" s="55" t="inlineStr">
        <is>
          <t>DO-316A (RTCA) | EUROCAE ED-78A</t>
        </is>
      </c>
    </row>
    <row r="14" ht="28" customHeight="1">
      <c r="A14" s="20" t="inlineStr">
        <is>
          <t>v3</t>
        </is>
      </c>
      <c r="B14" s="20" t="inlineStr">
        <is>
          <t>STD</t>
        </is>
      </c>
      <c r="C14" s="56" t="inlineStr">
        <is>
          <t>WBS 6.1</t>
        </is>
      </c>
      <c r="D14" s="56" t="inlineStr">
        <is>
          <t>FAR 23.303</t>
        </is>
      </c>
      <c r="E14" s="56" t="inlineStr">
        <is>
          <t>EASA SC-VTOL §2301 | CS-23 Amdt.5</t>
        </is>
      </c>
    </row>
    <row r="15" ht="28" customHeight="1">
      <c r="A15" s="20" t="inlineStr">
        <is>
          <t>v3</t>
        </is>
      </c>
      <c r="B15" s="20" t="inlineStr">
        <is>
          <t>STD</t>
        </is>
      </c>
      <c r="C15" s="55" t="inlineStr">
        <is>
          <t>WBS 4.1</t>
        </is>
      </c>
      <c r="D15" s="55" t="inlineStr">
        <is>
          <t>IEC 62133</t>
        </is>
      </c>
      <c r="E15" s="55" t="inlineStr">
        <is>
          <t>IEC 62619 (sabit batarya) | UN 38.3</t>
        </is>
      </c>
    </row>
    <row r="16" ht="28" customHeight="1">
      <c r="A16" s="20" t="inlineStr">
        <is>
          <t>v3</t>
        </is>
      </c>
      <c r="B16" s="20" t="inlineStr">
        <is>
          <t>STD</t>
        </is>
      </c>
      <c r="C16" s="56" t="inlineStr">
        <is>
          <t>WBS 7.3</t>
        </is>
      </c>
      <c r="D16" s="56" t="inlineStr">
        <is>
          <t>sadece MIL-F-9490D</t>
        </is>
      </c>
      <c r="E16" s="56" t="inlineStr">
        <is>
          <t>+ ADS-33E-PRF (rotorcraft)</t>
        </is>
      </c>
    </row>
    <row r="17" ht="28" customHeight="1">
      <c r="A17" s="20" t="inlineStr">
        <is>
          <t>v3</t>
        </is>
      </c>
      <c r="B17" s="20" t="inlineStr">
        <is>
          <t>STD</t>
        </is>
      </c>
      <c r="C17" s="55" t="inlineStr">
        <is>
          <t>WBS 5.6</t>
        </is>
      </c>
      <c r="D17" s="55" t="inlineStr">
        <is>
          <t>ISO 9612 (işyeri gürültüsü)</t>
        </is>
      </c>
      <c r="E17" s="55" t="inlineStr">
        <is>
          <t>ISO 3744 (makine gürültüsü)</t>
        </is>
      </c>
    </row>
    <row r="18" ht="28" customHeight="1">
      <c r="A18" s="20" t="inlineStr">
        <is>
          <t>v3</t>
        </is>
      </c>
      <c r="B18" s="20" t="inlineStr">
        <is>
          <t>STD</t>
        </is>
      </c>
      <c r="C18" s="56" t="inlineStr">
        <is>
          <t>WBS 8.2</t>
        </is>
      </c>
      <c r="D18" s="56" t="inlineStr">
        <is>
          <t>DO-316 (yok)</t>
        </is>
      </c>
      <c r="E18" s="56" t="inlineStr">
        <is>
          <t>EUROCAE ED-269 (C2 datalink)</t>
        </is>
      </c>
    </row>
    <row r="19" ht="28" customHeight="1">
      <c r="A19" s="14" t="inlineStr">
        <is>
          <t>v3</t>
        </is>
      </c>
      <c r="B19" s="14" t="inlineStr">
        <is>
          <t>NEW</t>
        </is>
      </c>
      <c r="C19" s="55" t="inlineStr">
        <is>
          <t>WBS 2.3</t>
        </is>
      </c>
      <c r="D19" s="55" t="inlineStr">
        <is>
          <t>Yaw torque dengesi yok</t>
        </is>
      </c>
      <c r="E19" s="55" t="inlineStr">
        <is>
          <t>CW/CCW Q dengesi; |ΔQ|≤0.01 N·m</t>
        </is>
      </c>
    </row>
    <row r="20" ht="28" customHeight="1">
      <c r="A20" s="14" t="inlineStr">
        <is>
          <t>v3</t>
        </is>
      </c>
      <c r="B20" s="14" t="inlineStr">
        <is>
          <t>NEW</t>
        </is>
      </c>
      <c r="C20" s="56" t="inlineStr">
        <is>
          <t>WBS 6.2</t>
        </is>
      </c>
      <c r="D20" s="56" t="inlineStr">
        <is>
          <t>Motor mount analizi yok</t>
        </is>
      </c>
      <c r="E20" s="56" t="inlineStr">
        <is>
          <t>TR≤0.15 @ hover RPM</t>
        </is>
      </c>
    </row>
    <row r="21" ht="28" customHeight="1">
      <c r="A21" s="14" t="inlineStr">
        <is>
          <t>v3</t>
        </is>
      </c>
      <c r="B21" s="14" t="inlineStr">
        <is>
          <t>NEW</t>
        </is>
      </c>
      <c r="C21" s="55" t="inlineStr">
        <is>
          <t>WBS 7.4</t>
        </is>
      </c>
      <c r="D21" s="55" t="inlineStr">
        <is>
          <t>Anti-windup yok</t>
        </is>
      </c>
      <c r="E21" s="55" t="inlineStr">
        <is>
          <t>Back-calculation anti-windup</t>
        </is>
      </c>
    </row>
    <row r="22" ht="28" customHeight="1">
      <c r="A22" s="14" t="inlineStr">
        <is>
          <t>v3</t>
        </is>
      </c>
      <c r="B22" s="14" t="inlineStr">
        <is>
          <t>NEW</t>
        </is>
      </c>
      <c r="C22" s="56" t="inlineStr">
        <is>
          <t>WBS 7.5</t>
        </is>
      </c>
      <c r="D22" s="56" t="inlineStr">
        <is>
          <t>İrtifa kontrolcüsü ayrı WBS yok</t>
        </is>
      </c>
      <c r="E22" s="56" t="inlineStr">
        <is>
          <t>Baro+optical+lidar cascade</t>
        </is>
      </c>
    </row>
    <row r="23" ht="28" customHeight="1">
      <c r="A23" s="14" t="inlineStr">
        <is>
          <t>v3</t>
        </is>
      </c>
      <c r="B23" s="14" t="inlineStr">
        <is>
          <t>NEW</t>
        </is>
      </c>
      <c r="C23" s="55" t="inlineStr">
        <is>
          <t>WBS 8.3</t>
        </is>
      </c>
      <c r="D23" s="55" t="inlineStr">
        <is>
          <t>Haberleşme güvenliği yok</t>
        </is>
      </c>
      <c r="E23" s="55" t="inlineStr">
        <is>
          <t>AES-128; HMAC; GPS anti-spoofing</t>
        </is>
      </c>
    </row>
    <row r="24" ht="28" customHeight="1">
      <c r="A24" s="14" t="inlineStr">
        <is>
          <t>v3</t>
        </is>
      </c>
      <c r="B24" s="14" t="inlineStr">
        <is>
          <t>NEW</t>
        </is>
      </c>
      <c r="C24" s="56" t="inlineStr">
        <is>
          <t>WBS 9.1</t>
        </is>
      </c>
      <c r="D24" s="56" t="inlineStr">
        <is>
          <t>Sensör kalibrasyon yok</t>
        </is>
      </c>
      <c r="E24" s="56" t="inlineStr">
        <is>
          <t>6-pos IMU; mag elipsoid; baro</t>
        </is>
      </c>
    </row>
    <row r="25" ht="28" customHeight="1">
      <c r="A25" s="14" t="inlineStr">
        <is>
          <t>v3</t>
        </is>
      </c>
      <c r="B25" s="14" t="inlineStr">
        <is>
          <t>NEW</t>
        </is>
      </c>
      <c r="C25" s="55" t="inlineStr">
        <is>
          <t>WBS 4.3</t>
        </is>
      </c>
      <c r="D25" s="55" t="inlineStr">
        <is>
          <t>Şarj sistemi yok</t>
        </is>
      </c>
      <c r="E25" s="55" t="inlineStr">
        <is>
          <t>CC-CV; ΔV≤5mV; 2C max</t>
        </is>
      </c>
    </row>
    <row r="26" ht="28" customHeight="1">
      <c r="A26" s="14" t="inlineStr">
        <is>
          <t>v3</t>
        </is>
      </c>
      <c r="B26" s="14" t="inlineStr">
        <is>
          <t>NEW</t>
        </is>
      </c>
      <c r="C26" s="56" t="inlineStr">
        <is>
          <t>WBS 10.5</t>
        </is>
      </c>
      <c r="D26" s="56" t="inlineStr">
        <is>
          <t>Monte Carlo SITL yok</t>
        </is>
      </c>
      <c r="E26" s="56" t="inlineStr">
        <is>
          <t>N=100; pert.±10%; p95</t>
        </is>
      </c>
    </row>
    <row r="27" ht="28" customHeight="1">
      <c r="A27" s="14" t="inlineStr">
        <is>
          <t>v3</t>
        </is>
      </c>
      <c r="B27" s="14" t="inlineStr">
        <is>
          <t>NEW</t>
        </is>
      </c>
      <c r="C27" s="55" t="inlineStr">
        <is>
          <t>WBS 11.3</t>
        </is>
      </c>
      <c r="D27" s="55" t="inlineStr">
        <is>
          <t>Çevre testi yok</t>
        </is>
      </c>
      <c r="E27" s="55" t="inlineStr">
        <is>
          <t>DO-160G §4/8/14</t>
        </is>
      </c>
    </row>
    <row r="28" ht="28" customHeight="1">
      <c r="A28" s="14" t="inlineStr">
        <is>
          <t>v3</t>
        </is>
      </c>
      <c r="B28" s="14" t="inlineStr">
        <is>
          <t>NEW</t>
        </is>
      </c>
      <c r="C28" s="56" t="inlineStr">
        <is>
          <t>WBS 13.3</t>
        </is>
      </c>
      <c r="D28" s="56" t="inlineStr">
        <is>
          <t>Sensitivite analizi yok</t>
        </is>
      </c>
      <c r="E28" s="56" t="inlineStr">
        <is>
          <t>FAST; dObj/dVar</t>
        </is>
      </c>
    </row>
    <row r="29" ht="28" customHeight="1">
      <c r="A29" s="57" t="inlineStr">
        <is>
          <t>v3</t>
        </is>
      </c>
      <c r="B29" s="57" t="inlineStr">
        <is>
          <t>KK-FIX</t>
        </is>
      </c>
      <c r="C29" s="55" t="inlineStr">
        <is>
          <t>KK-3</t>
        </is>
      </c>
      <c r="D29" s="55" t="inlineStr">
        <is>
          <t>WBS 4.2 tek adres</t>
        </is>
      </c>
      <c r="E29" s="55" t="inlineStr">
        <is>
          <t>WBS 4.2+4.7</t>
        </is>
      </c>
    </row>
    <row r="30" ht="28" customHeight="1">
      <c r="A30" s="57" t="inlineStr">
        <is>
          <t>v3</t>
        </is>
      </c>
      <c r="B30" s="57" t="inlineStr">
        <is>
          <t>KK-FIX</t>
        </is>
      </c>
      <c r="C30" s="56" t="inlineStr">
        <is>
          <t>KK-6</t>
        </is>
      </c>
      <c r="D30" s="56" t="inlineStr">
        <is>
          <t>WBS 6.1 tek adres</t>
        </is>
      </c>
      <c r="E30" s="56" t="inlineStr">
        <is>
          <t>WBS 6.1+6.3</t>
        </is>
      </c>
    </row>
    <row r="31" ht="28" customHeight="1">
      <c r="A31" s="57" t="inlineStr">
        <is>
          <t>v3</t>
        </is>
      </c>
      <c r="B31" s="57" t="inlineStr">
        <is>
          <t>KK-FIX</t>
        </is>
      </c>
      <c r="C31" s="55" t="inlineStr">
        <is>
          <t>KK-9</t>
        </is>
      </c>
      <c r="D31" s="55" t="inlineStr">
        <is>
          <t>WBS 7.3 tek adres</t>
        </is>
      </c>
      <c r="E31" s="55" t="inlineStr">
        <is>
          <t>WBS 7.3+7.2</t>
        </is>
      </c>
    </row>
    <row r="32" ht="28" customHeight="1">
      <c r="A32" s="57" t="inlineStr">
        <is>
          <t>v3</t>
        </is>
      </c>
      <c r="B32" s="57" t="inlineStr">
        <is>
          <t>KK-FIX</t>
        </is>
      </c>
      <c r="C32" s="56" t="inlineStr">
        <is>
          <t>KK-11</t>
        </is>
      </c>
      <c r="D32" s="56" t="inlineStr">
        <is>
          <t>WBS 7.3 tek adres</t>
        </is>
      </c>
      <c r="E32" s="56" t="inlineStr">
        <is>
          <t>WBS 7.3+7.5+10.2</t>
        </is>
      </c>
    </row>
    <row r="33" ht="28" customHeight="1">
      <c r="A33" s="20" t="inlineStr">
        <is>
          <t>v4</t>
        </is>
      </c>
      <c r="B33" s="20" t="inlineStr">
        <is>
          <t>STD</t>
        </is>
      </c>
      <c r="C33" s="55" t="inlineStr">
        <is>
          <t>WBS 4.1</t>
        </is>
      </c>
      <c r="D33" s="55" t="inlineStr">
        <is>
          <t>IEC 62133 kalan kalıntı</t>
        </is>
      </c>
      <c r="E33" s="55" t="inlineStr">
        <is>
          <t>IEC 62619 (kesin düzeltme)</t>
        </is>
      </c>
    </row>
    <row r="34" ht="28" customHeight="1">
      <c r="A34" s="20" t="inlineStr">
        <is>
          <t>v4</t>
        </is>
      </c>
      <c r="B34" s="20" t="inlineStr">
        <is>
          <t>STD</t>
        </is>
      </c>
      <c r="C34" s="56" t="inlineStr">
        <is>
          <t>WBS 4.4</t>
        </is>
      </c>
      <c r="D34" s="56" t="inlineStr">
        <is>
          <t>IEC 62133 kalan kalıntı</t>
        </is>
      </c>
      <c r="E34" s="56" t="inlineStr">
        <is>
          <t>IEC 62619</t>
        </is>
      </c>
    </row>
    <row r="35" ht="28" customHeight="1">
      <c r="A35" s="20" t="inlineStr">
        <is>
          <t>v4</t>
        </is>
      </c>
      <c r="B35" s="20" t="inlineStr">
        <is>
          <t>STD</t>
        </is>
      </c>
      <c r="C35" s="55" t="inlineStr">
        <is>
          <t>WBS 8.2</t>
        </is>
      </c>
      <c r="D35" s="55" t="inlineStr">
        <is>
          <t>RTCA DO-365 C2 için yanlış</t>
        </is>
      </c>
      <c r="E35" s="55" t="inlineStr">
        <is>
          <t>EUROCAE ED-269</t>
        </is>
      </c>
    </row>
    <row r="36" ht="28" customHeight="1">
      <c r="A36" s="14" t="inlineStr">
        <is>
          <t>v4</t>
        </is>
      </c>
      <c r="B36" s="14" t="inlineStr">
        <is>
          <t>NEW</t>
        </is>
      </c>
      <c r="C36" s="56" t="inlineStr">
        <is>
          <t>WBS 4.8</t>
        </is>
      </c>
      <c r="D36" s="56" t="inlineStr">
        <is>
          <t>Bat termal monitöring eksik</t>
        </is>
      </c>
      <c r="E36" s="56" t="inlineStr">
        <is>
          <t>T_cell model; 3 uyarı seviyesi; OTA BMS</t>
        </is>
      </c>
    </row>
    <row r="37" ht="28" customHeight="1">
      <c r="A37" s="14" t="inlineStr">
        <is>
          <t>v4</t>
        </is>
      </c>
      <c r="B37" s="14" t="inlineStr">
        <is>
          <t>NEW</t>
        </is>
      </c>
      <c r="C37" s="55" t="inlineStr">
        <is>
          <t>WBS 7.10</t>
        </is>
      </c>
      <c r="D37" s="55" t="inlineStr">
        <is>
          <t>Dual IMU redundancy eksik</t>
        </is>
      </c>
      <c r="E37" s="55" t="inlineStr">
        <is>
          <t>Primary/failover; |att_diff|&lt;0.5°; DO-178C</t>
        </is>
      </c>
    </row>
    <row r="38" ht="28" customHeight="1">
      <c r="A38" s="14" t="inlineStr">
        <is>
          <t>v4</t>
        </is>
      </c>
      <c r="B38" s="14" t="inlineStr">
        <is>
          <t>NEW</t>
        </is>
      </c>
      <c r="C38" s="56" t="inlineStr">
        <is>
          <t>WBS 7.11</t>
        </is>
      </c>
      <c r="D38" s="56" t="inlineStr">
        <is>
          <t>Motor RPM monitöring eksik</t>
        </is>
      </c>
      <c r="E38" s="56" t="inlineStr">
        <is>
          <t>DSHOT telemetri; tork anomali; erken uyarı</t>
        </is>
      </c>
    </row>
    <row r="39" ht="28" customHeight="1">
      <c r="A39" s="14" t="inlineStr">
        <is>
          <t>v4</t>
        </is>
      </c>
      <c r="B39" s="14" t="inlineStr">
        <is>
          <t>NEW</t>
        </is>
      </c>
      <c r="C39" s="55" t="inlineStr">
        <is>
          <t>WBS 9.6</t>
        </is>
      </c>
      <c r="D39" s="55" t="inlineStr">
        <is>
          <t>Compass-mot kompanzasyon eksik</t>
        </is>
      </c>
      <c r="E39" s="55" t="inlineStr">
        <is>
          <t>B_motor model; comp matrix; 3mGauss residual</t>
        </is>
      </c>
    </row>
    <row r="40" ht="28" customHeight="1">
      <c r="A40" s="14" t="inlineStr">
        <is>
          <t>v4</t>
        </is>
      </c>
      <c r="B40" s="14" t="inlineStr">
        <is>
          <t>NEW</t>
        </is>
      </c>
      <c r="C40" s="56" t="inlineStr">
        <is>
          <t>WBS 10.7</t>
        </is>
      </c>
      <c r="D40" s="56" t="inlineStr">
        <is>
          <t>Log analiz pipeline eksik</t>
        </is>
      </c>
      <c r="E40" s="56" t="inlineStr">
        <is>
          <t>pyulog; 3σ anomali; otomatik rapor</t>
        </is>
      </c>
    </row>
    <row r="41" ht="28" customHeight="1">
      <c r="A41" s="14" t="inlineStr">
        <is>
          <t>v4</t>
        </is>
      </c>
      <c r="B41" s="14" t="inlineStr">
        <is>
          <t>NEW</t>
        </is>
      </c>
      <c r="C41" s="55" t="inlineStr">
        <is>
          <t>WBS 11.7</t>
        </is>
      </c>
      <c r="D41" s="55" t="inlineStr">
        <is>
          <t>DO-178C yazılım doğrulama eksik</t>
        </is>
      </c>
      <c r="E41" s="55" t="inlineStr">
        <is>
          <t>DAL-C; MC/DC≥70%; MISRA critical=0</t>
        </is>
      </c>
    </row>
    <row r="42" ht="28" customHeight="1">
      <c r="A42" s="14" t="inlineStr">
        <is>
          <t>v4</t>
        </is>
      </c>
      <c r="B42" s="14" t="inlineStr">
        <is>
          <t>NEW</t>
        </is>
      </c>
      <c r="C42" s="56" t="inlineStr">
        <is>
          <t>WBS 12.4</t>
        </is>
      </c>
      <c r="D42" s="56" t="inlineStr">
        <is>
          <t>Operatör eğitim/bakım planı eksik</t>
        </is>
      </c>
      <c r="E42" s="56" t="inlineStr">
        <is>
          <t>TBO hesabı; motor/prop/bat ömrü</t>
        </is>
      </c>
    </row>
    <row r="43" ht="28" customHeight="1">
      <c r="A43" s="14" t="inlineStr">
        <is>
          <t>v4</t>
        </is>
      </c>
      <c r="B43" s="14" t="inlineStr">
        <is>
          <t>NEW</t>
        </is>
      </c>
      <c r="C43" s="55" t="inlineStr">
        <is>
          <t>WBS 12.5</t>
        </is>
      </c>
      <c r="D43" s="55" t="inlineStr">
        <is>
          <t>Lojistik/taşıma planı eksik</t>
        </is>
      </c>
      <c r="E43" s="55" t="inlineStr">
        <is>
          <t>IATA DGR; UN 3480/3481; paketleme</t>
        </is>
      </c>
    </row>
    <row r="44" ht="28" customHeight="1">
      <c r="A44" s="14" t="inlineStr">
        <is>
          <t>v4</t>
        </is>
      </c>
      <c r="B44" s="14" t="inlineStr">
        <is>
          <t>NEW</t>
        </is>
      </c>
      <c r="C44" s="56" t="inlineStr">
        <is>
          <t>WBS 13.5</t>
        </is>
      </c>
      <c r="D44" s="56" t="inlineStr">
        <is>
          <t>Perf zarfı (irtifa/sıcaklık) eksik</t>
        </is>
      </c>
      <c r="E44" s="56" t="inlineStr">
        <is>
          <t>ISA model; 4×4 perf matrisi; T/W≥1.5</t>
        </is>
      </c>
    </row>
    <row r="45" ht="28" customHeight="1">
      <c r="A45" s="14" t="inlineStr">
        <is>
          <t>v4</t>
        </is>
      </c>
      <c r="B45" s="14" t="inlineStr">
        <is>
          <t>NEW</t>
        </is>
      </c>
      <c r="C45" s="55" t="inlineStr">
        <is>
          <t>WBS 14.6</t>
        </is>
      </c>
      <c r="D45" s="55" t="inlineStr">
        <is>
          <t>Bow-Tie &amp; SwFMEA eksik</t>
        </is>
      </c>
      <c r="E45" s="55" t="inlineStr">
        <is>
          <t>Tehlike bariyerleri; OSO-14..18</t>
        </is>
      </c>
    </row>
    <row r="46" ht="28" customHeight="1">
      <c r="A46" s="14" t="inlineStr">
        <is>
          <t>v4</t>
        </is>
      </c>
      <c r="B46" s="14" t="inlineStr">
        <is>
          <t>NEW</t>
        </is>
      </c>
      <c r="C46" s="56" t="inlineStr">
        <is>
          <t>WBS 15.1</t>
        </is>
      </c>
      <c r="D46" s="56" t="inlineStr">
        <is>
          <t>CI/CD pipeline yoktu</t>
        </is>
      </c>
      <c r="E46" s="56" t="inlineStr">
        <is>
          <t>GitHub Actions; Docker; coverage≥80%</t>
        </is>
      </c>
    </row>
    <row r="47" ht="28" customHeight="1">
      <c r="A47" s="14" t="inlineStr">
        <is>
          <t>v4</t>
        </is>
      </c>
      <c r="B47" s="14" t="inlineStr">
        <is>
          <t>NEW</t>
        </is>
      </c>
      <c r="C47" s="55" t="inlineStr">
        <is>
          <t>WBS 15.2</t>
        </is>
      </c>
      <c r="D47" s="55" t="inlineStr">
        <is>
          <t>SITL regresyon yok</t>
        </is>
      </c>
      <c r="E47" s="55" t="inlineStr">
        <is>
          <t>4 otomatik test; JUnit XML</t>
        </is>
      </c>
    </row>
    <row r="48" ht="28" customHeight="1">
      <c r="A48" s="14" t="inlineStr">
        <is>
          <t>v4</t>
        </is>
      </c>
      <c r="B48" s="14" t="inlineStr">
        <is>
          <t>NEW</t>
        </is>
      </c>
      <c r="C48" s="56" t="inlineStr">
        <is>
          <t>WBS 15.3</t>
        </is>
      </c>
      <c r="D48" s="56" t="inlineStr">
        <is>
          <t>MISRA-C analiz yok</t>
        </is>
      </c>
      <c r="E48" s="56" t="inlineStr">
        <is>
          <t>MISRA critical=0; McCabe≤10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0" customWidth="1" min="5" max="5"/>
    <col width="14" customWidth="1" min="6" max="6"/>
    <col width="28" customWidth="1" min="7" max="7"/>
    <col width="8" customWidth="1" min="8" max="8"/>
    <col width="10" customWidth="1" min="9" max="9"/>
  </cols>
  <sheetData>
    <row r="1" ht="24" customHeight="1">
      <c r="A1" s="4" t="inlineStr">
        <is>
          <t>MDAO REFLECT-REFINE DÖNGÜSÜ v4.0 — 13 KK | Tüm WBS Adresleri Doğrulanmış</t>
        </is>
      </c>
    </row>
    <row r="2" ht="22" customHeight="1">
      <c r="A2" s="5" t="inlineStr">
        <is>
          <t>KK</t>
        </is>
      </c>
      <c r="B2" s="5" t="inlineStr">
        <is>
          <t>Parametre</t>
        </is>
      </c>
      <c r="C2" s="5" t="inlineStr">
        <is>
          <t>Başarı</t>
        </is>
      </c>
      <c r="D2" s="5" t="inlineStr">
        <is>
          <t>Başarısız</t>
        </is>
      </c>
      <c r="E2" s="5" t="inlineStr">
        <is>
          <t>Karar</t>
        </is>
      </c>
      <c r="F2" s="5" t="inlineStr">
        <is>
          <t>Geri Dönüş WBS</t>
        </is>
      </c>
      <c r="G2" s="5" t="inlineStr">
        <is>
          <t>Değişiklik</t>
        </is>
      </c>
      <c r="H2" s="5" t="inlineStr">
        <is>
          <t>MaxIter</t>
        </is>
      </c>
      <c r="I2" s="5" t="inlineStr">
        <is>
          <t>Öncelik</t>
        </is>
      </c>
    </row>
    <row r="3" ht="34" customHeight="1">
      <c r="A3" s="58" t="inlineStr">
        <is>
          <t>KK-1</t>
        </is>
      </c>
      <c r="B3" s="59" t="inlineStr">
        <is>
          <t>TW_ratio</t>
        </is>
      </c>
      <c r="C3" s="59" t="inlineStr">
        <is>
          <t>≥2.0</t>
        </is>
      </c>
      <c r="D3" s="59" t="inlineStr">
        <is>
          <t>&lt;2.0</t>
        </is>
      </c>
      <c r="E3" s="59" t="inlineStr">
        <is>
          <t>İtki Revize</t>
        </is>
      </c>
      <c r="F3" s="59" t="inlineStr">
        <is>
          <t>WBS 3.2+3.9</t>
        </is>
      </c>
      <c r="G3" s="59" t="inlineStr">
        <is>
          <t>Rotor çapı +5%; RPM artır; MTOW azalt</t>
        </is>
      </c>
      <c r="H3" s="59" t="n">
        <v>3</v>
      </c>
      <c r="I3" s="60" t="inlineStr">
        <is>
          <t>KRİTİK</t>
        </is>
      </c>
    </row>
    <row r="4" ht="34" customHeight="1">
      <c r="A4" s="61" t="inlineStr">
        <is>
          <t>KK-2</t>
        </is>
      </c>
      <c r="B4" s="62" t="inlineStr">
        <is>
          <t>FM (Glauert)</t>
        </is>
      </c>
      <c r="C4" s="62" t="inlineStr">
        <is>
          <t>≥0.60</t>
        </is>
      </c>
      <c r="D4" s="62" t="inlineStr">
        <is>
          <t>&lt;0.60</t>
        </is>
      </c>
      <c r="E4" s="62" t="inlineStr">
        <is>
          <t>Pervane Opt.</t>
        </is>
      </c>
      <c r="F4" s="62" t="inlineStr">
        <is>
          <t>WBS 3.2</t>
        </is>
      </c>
      <c r="G4" s="62" t="inlineStr">
        <is>
          <t>Twist/airfoil; Prandtl kontrol</t>
        </is>
      </c>
      <c r="H4" s="62" t="n">
        <v>3</v>
      </c>
      <c r="I4" s="60" t="inlineStr">
        <is>
          <t>KRİTİK</t>
        </is>
      </c>
    </row>
    <row r="5" ht="34" customHeight="1">
      <c r="A5" s="58" t="inlineStr">
        <is>
          <t>KK-3</t>
        </is>
      </c>
      <c r="B5" s="59" t="inlineStr">
        <is>
          <t>t_hover_min</t>
        </is>
      </c>
      <c r="C5" s="59" t="inlineStr">
        <is>
          <t>≥end×1.2</t>
        </is>
      </c>
      <c r="D5" s="59" t="inlineStr">
        <is>
          <t>&lt;req</t>
        </is>
      </c>
      <c r="E5" s="59" t="inlineStr">
        <is>
          <t>Güç Revize</t>
        </is>
      </c>
      <c r="F5" s="59" t="inlineStr">
        <is>
          <t>WBS 4.2+4.7</t>
        </is>
      </c>
      <c r="G5" s="59" t="inlineStr">
        <is>
          <t>Batarya↑; P_hover↓; Peukert dahil</t>
        </is>
      </c>
      <c r="H5" s="59" t="n">
        <v>3</v>
      </c>
      <c r="I5" s="60" t="inlineStr">
        <is>
          <t>KRİTİK</t>
        </is>
      </c>
    </row>
    <row r="6" ht="34" customHeight="1">
      <c r="A6" s="61" t="inlineStr">
        <is>
          <t>KK-4</t>
        </is>
      </c>
      <c r="B6" s="62" t="inlineStr">
        <is>
          <t>DL_Nm2</t>
        </is>
      </c>
      <c r="C6" s="62" t="inlineStr">
        <is>
          <t>≤300</t>
        </is>
      </c>
      <c r="D6" s="62" t="inlineStr">
        <is>
          <t>≥300</t>
        </is>
      </c>
      <c r="E6" s="62" t="inlineStr">
        <is>
          <t>Geom Revize</t>
        </is>
      </c>
      <c r="F6" s="62" t="inlineStr">
        <is>
          <t>WBS 2.2</t>
        </is>
      </c>
      <c r="G6" s="62" t="inlineStr">
        <is>
          <t>Rotor çapı↑ → wheelbase revize</t>
        </is>
      </c>
      <c r="H6" s="62" t="n">
        <v>3</v>
      </c>
      <c r="I6" s="63" t="inlineStr">
        <is>
          <t>YÜKSEK</t>
        </is>
      </c>
    </row>
    <row r="7" ht="34" customHeight="1">
      <c r="A7" s="58" t="inlineStr">
        <is>
          <t>KK-5</t>
        </is>
      </c>
      <c r="B7" s="59" t="inlineStr">
        <is>
          <t>PL_NW</t>
        </is>
      </c>
      <c r="C7" s="59" t="inlineStr">
        <is>
          <t>≥8</t>
        </is>
      </c>
      <c r="D7" s="59" t="inlineStr">
        <is>
          <t>&lt;8</t>
        </is>
      </c>
      <c r="E7" s="59" t="inlineStr">
        <is>
          <t>İtki+Motor</t>
        </is>
      </c>
      <c r="F7" s="59" t="inlineStr">
        <is>
          <t>WBS 3.1+3.6</t>
        </is>
      </c>
      <c r="G7" s="59" t="inlineStr">
        <is>
          <t>Motor/pervane kombinasyonu değiştir</t>
        </is>
      </c>
      <c r="H7" s="59" t="n">
        <v>3</v>
      </c>
      <c r="I7" s="63" t="inlineStr">
        <is>
          <t>YÜKSEK</t>
        </is>
      </c>
    </row>
    <row r="8" ht="34" customHeight="1">
      <c r="A8" s="61" t="inlineStr">
        <is>
          <t>KK-6</t>
        </is>
      </c>
      <c r="B8" s="62" t="inlineStr">
        <is>
          <t>MS_min</t>
        </is>
      </c>
      <c r="C8" s="62" t="inlineStr">
        <is>
          <t>≥1.5@3.5g</t>
        </is>
      </c>
      <c r="D8" s="62" t="inlineStr">
        <is>
          <t>&lt;1.5</t>
        </is>
      </c>
      <c r="E8" s="62" t="inlineStr">
        <is>
          <t>Yapısal</t>
        </is>
      </c>
      <c r="F8" s="62" t="inlineStr">
        <is>
          <t>WBS 6.1+6.3</t>
        </is>
      </c>
      <c r="G8" s="62" t="inlineStr">
        <is>
          <t>Kol kalınlık↑; CFRP; FEA tekrar</t>
        </is>
      </c>
      <c r="H8" s="62" t="n">
        <v>3</v>
      </c>
      <c r="I8" s="60" t="inlineStr">
        <is>
          <t>KRİTİK</t>
        </is>
      </c>
    </row>
    <row r="9" ht="34" customHeight="1">
      <c r="A9" s="58" t="inlineStr">
        <is>
          <t>KK-7</t>
        </is>
      </c>
      <c r="B9" s="59" t="inlineStr">
        <is>
          <t>cg_dev_mm</t>
        </is>
      </c>
      <c r="C9" s="59" t="inlineStr">
        <is>
          <t>≤5mm</t>
        </is>
      </c>
      <c r="D9" s="59" t="inlineStr">
        <is>
          <t>&gt;5mm</t>
        </is>
      </c>
      <c r="E9" s="59" t="inlineStr">
        <is>
          <t>Kütle Dag.</t>
        </is>
      </c>
      <c r="F9" s="59" t="inlineStr">
        <is>
          <t>WBS 2.7</t>
        </is>
      </c>
      <c r="G9" s="59" t="inlineStr">
        <is>
          <t>Bat/aviyonik pozisyon; denge ağırlığı</t>
        </is>
      </c>
      <c r="H9" s="59" t="n">
        <v>3</v>
      </c>
      <c r="I9" s="63" t="inlineStr">
        <is>
          <t>YÜKSEK</t>
        </is>
      </c>
    </row>
    <row r="10" ht="34" customHeight="1">
      <c r="A10" s="61" t="inlineStr">
        <is>
          <t>KK-8</t>
        </is>
      </c>
      <c r="B10" s="62" t="inlineStr">
        <is>
          <t>s/D ratio</t>
        </is>
      </c>
      <c r="C10" s="62" t="inlineStr">
        <is>
          <t>≥1.1</t>
        </is>
      </c>
      <c r="D10" s="62" t="inlineStr">
        <is>
          <t>&lt;1.1</t>
        </is>
      </c>
      <c r="E10" s="62" t="inlineStr">
        <is>
          <t>Geom Revize</t>
        </is>
      </c>
      <c r="F10" s="62" t="inlineStr">
        <is>
          <t>WBS 2.2+2.3</t>
        </is>
      </c>
      <c r="G10" s="62" t="inlineStr">
        <is>
          <t>Wheelbase↑; yaw_balance güncelle</t>
        </is>
      </c>
      <c r="H10" s="62" t="n">
        <v>3</v>
      </c>
      <c r="I10" s="63" t="inlineStr">
        <is>
          <t>YÜKSEK</t>
        </is>
      </c>
    </row>
    <row r="11" ht="34" customHeight="1">
      <c r="A11" s="58" t="inlineStr">
        <is>
          <t>KK-9</t>
        </is>
      </c>
      <c r="B11" s="59" t="inlineStr">
        <is>
          <t>BW_Hz</t>
        </is>
      </c>
      <c r="C11" s="59" t="inlineStr">
        <is>
          <t>≥10Hz</t>
        </is>
      </c>
      <c r="D11" s="59" t="inlineStr">
        <is>
          <t>&lt;10Hz</t>
        </is>
      </c>
      <c r="E11" s="59" t="inlineStr">
        <is>
          <t>Kontrol</t>
        </is>
      </c>
      <c r="F11" s="59" t="inlineStr">
        <is>
          <t>WBS 7.3+7.2</t>
        </is>
      </c>
      <c r="G11" s="59" t="inlineStr">
        <is>
          <t>LQR Q↑; anti-windup; motor tepkisi</t>
        </is>
      </c>
      <c r="H11" s="59" t="n">
        <v>3</v>
      </c>
      <c r="I11" s="60" t="inlineStr">
        <is>
          <t>KRİTİK</t>
        </is>
      </c>
    </row>
    <row r="12" ht="34" customHeight="1">
      <c r="A12" s="61" t="inlineStr">
        <is>
          <t>KK-10</t>
        </is>
      </c>
      <c r="B12" s="62" t="inlineStr">
        <is>
          <t>T_mot_margin</t>
        </is>
      </c>
      <c r="C12" s="62" t="inlineStr">
        <is>
          <t>≥%20</t>
        </is>
      </c>
      <c r="D12" s="62" t="inlineStr">
        <is>
          <t>&lt;%20</t>
        </is>
      </c>
      <c r="E12" s="62" t="inlineStr">
        <is>
          <t>Termal</t>
        </is>
      </c>
      <c r="F12" s="62" t="inlineStr">
        <is>
          <t>WBS 6.5</t>
        </is>
      </c>
      <c r="G12" s="62" t="inlineStr">
        <is>
          <t>Soğutma↑; motor sınıf↑</t>
        </is>
      </c>
      <c r="H12" s="62" t="n">
        <v>2</v>
      </c>
      <c r="I12" s="63" t="inlineStr">
        <is>
          <t>YÜKSEK</t>
        </is>
      </c>
    </row>
    <row r="13" ht="34" customHeight="1">
      <c r="A13" s="58" t="inlineStr">
        <is>
          <t>KK-11</t>
        </is>
      </c>
      <c r="B13" s="59" t="inlineStr">
        <is>
          <t>roll_rms_deg</t>
        </is>
      </c>
      <c r="C13" s="59" t="inlineStr">
        <is>
          <t>≤1.0°</t>
        </is>
      </c>
      <c r="D13" s="59" t="inlineStr">
        <is>
          <t>&gt;1.0°</t>
        </is>
      </c>
      <c r="E13" s="59" t="inlineStr">
        <is>
          <t>Ctrl+Alt</t>
        </is>
      </c>
      <c r="F13" s="59" t="inlineStr">
        <is>
          <t>WBS 7.3+7.5+10.2</t>
        </is>
      </c>
      <c r="G13" s="59" t="inlineStr">
        <is>
          <t>PID↑; altitude_ctrl; SITL tekrar</t>
        </is>
      </c>
      <c r="H13" s="59" t="n">
        <v>5</v>
      </c>
      <c r="I13" s="60" t="inlineStr">
        <is>
          <t>KRİTİK</t>
        </is>
      </c>
    </row>
    <row r="14" ht="34" customHeight="1">
      <c r="A14" s="61" t="inlineStr">
        <is>
          <t>KK-12</t>
        </is>
      </c>
      <c r="B14" s="62" t="inlineStr">
        <is>
          <t>V_max_ms</t>
        </is>
      </c>
      <c r="C14" s="62" t="inlineStr">
        <is>
          <t>≥V_max_req</t>
        </is>
      </c>
      <c r="D14" s="62" t="inlineStr">
        <is>
          <t>&lt;req</t>
        </is>
      </c>
      <c r="E14" s="62" t="inlineStr">
        <is>
          <t>İtki</t>
        </is>
      </c>
      <c r="F14" s="62" t="inlineStr">
        <is>
          <t>WBS 3.5</t>
        </is>
      </c>
      <c r="G14" s="62" t="inlineStr">
        <is>
          <t>Pitch↑ pervane; KV↑ motor</t>
        </is>
      </c>
      <c r="H14" s="62" t="n">
        <v>3</v>
      </c>
      <c r="I14" s="64" t="inlineStr">
        <is>
          <t>ORTA</t>
        </is>
      </c>
    </row>
    <row r="15" ht="34" customHeight="1">
      <c r="A15" s="58" t="inlineStr">
        <is>
          <t>KK-13</t>
        </is>
      </c>
      <c r="B15" s="59" t="inlineStr">
        <is>
          <t>Q_yaw_Nm</t>
        </is>
      </c>
      <c r="C15" s="59" t="inlineStr">
        <is>
          <t>≤0.01</t>
        </is>
      </c>
      <c r="D15" s="59" t="inlineStr">
        <is>
          <t>≥0.01</t>
        </is>
      </c>
      <c r="E15" s="59" t="inlineStr">
        <is>
          <t>Yaw Denge</t>
        </is>
      </c>
      <c r="F15" s="59" t="inlineStr">
        <is>
          <t>WBS 2.3</t>
        </is>
      </c>
      <c r="G15" s="59" t="inlineStr">
        <is>
          <t>rotation_dirs[] yeniden ata [v3 NEW]</t>
        </is>
      </c>
      <c r="H15" s="59" t="n">
        <v>2</v>
      </c>
      <c r="I15" s="63" t="inlineStr">
        <is>
          <t>YÜKSEK</t>
        </is>
      </c>
    </row>
    <row r="17" ht="44" customHeight="1">
      <c r="A17" s="65" t="inlineStr">
        <is>
          <t>MDAO v4.0: 13 KK (KK-13 yaw torque dengesizliği eklendi). Tüm geri dönüş adresleri çift-faz (primary+secondary WBS). Max 5 iter → escalation_report.json. v4 yeni: CI/CD regresyon her KK-11 başarısızlığında otomatik SITL çalıştırır.</t>
        </is>
      </c>
    </row>
  </sheetData>
  <mergeCells count="2">
    <mergeCell ref="A1:I1"/>
    <mergeCell ref="A17:I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12" customWidth="1" min="5" max="5"/>
    <col width="8" customWidth="1" min="6" max="6"/>
    <col width="22" customWidth="1" min="7" max="7"/>
    <col width="22" customWidth="1" min="8" max="8"/>
    <col width="10" customWidth="1" min="9" max="9"/>
  </cols>
  <sheetData>
    <row r="1" ht="24" customHeight="1">
      <c r="A1" s="4" t="inlineStr">
        <is>
          <t>WBS KABUL KRİTERLERİ v4.0 — 32 Sayısal Sınır | Güncel Standartlar | MultiCopter</t>
        </is>
      </c>
    </row>
    <row r="2" ht="22" customHeight="1">
      <c r="A2" s="5" t="inlineStr">
        <is>
          <t>WBS</t>
        </is>
      </c>
      <c r="B2" s="5" t="inlineStr">
        <is>
          <t>Parametre</t>
        </is>
      </c>
      <c r="C2" s="5" t="inlineStr">
        <is>
          <t>Pydantic Alan</t>
        </is>
      </c>
      <c r="D2" s="5" t="inlineStr">
        <is>
          <t>Min</t>
        </is>
      </c>
      <c r="E2" s="5" t="inlineStr">
        <is>
          <t>Max</t>
        </is>
      </c>
      <c r="F2" s="5" t="inlineStr">
        <is>
          <t>Birim</t>
        </is>
      </c>
      <c r="G2" s="5" t="inlineStr">
        <is>
          <t>Standart (v4)</t>
        </is>
      </c>
      <c r="H2" s="5" t="inlineStr">
        <is>
          <t>Başarısız→Aksiyon</t>
        </is>
      </c>
      <c r="I2" s="5" t="inlineStr">
        <is>
          <t>Öncelik</t>
        </is>
      </c>
    </row>
    <row r="3" ht="24" customHeight="1">
      <c r="A3" s="58" t="inlineStr">
        <is>
          <t>WBS 1</t>
        </is>
      </c>
      <c r="B3" s="59" t="inlineStr">
        <is>
          <t>Payload Fraksiyonu</t>
        </is>
      </c>
      <c r="C3" s="59" t="inlineStr">
        <is>
          <t>mass_budget.payload_fraction</t>
        </is>
      </c>
      <c r="D3" s="59" t="inlineStr">
        <is>
          <t>0.15</t>
        </is>
      </c>
      <c r="E3" s="59" t="inlineStr">
        <is>
          <t>—</t>
        </is>
      </c>
      <c r="F3" s="59" t="inlineStr">
        <is>
          <t>—</t>
        </is>
      </c>
      <c r="G3" s="59" t="inlineStr">
        <is>
          <t>Staufenbiel|NDARC</t>
        </is>
      </c>
      <c r="H3" s="59" t="inlineStr">
        <is>
          <t>Kütle revize; m_misc dahil mi?</t>
        </is>
      </c>
      <c r="I3" s="63" t="inlineStr">
        <is>
          <t>YÜKSEK</t>
        </is>
      </c>
    </row>
    <row r="4" ht="24" customHeight="1">
      <c r="A4" s="61" t="inlineStr">
        <is>
          <t>WBS 2</t>
        </is>
      </c>
      <c r="B4" s="62" t="inlineStr">
        <is>
          <t>Rotor Aralık s/D</t>
        </is>
      </c>
      <c r="C4" s="62" t="inlineStr">
        <is>
          <t>geometry.spacing_ratio</t>
        </is>
      </c>
      <c r="D4" s="62" t="inlineStr">
        <is>
          <t>1.1</t>
        </is>
      </c>
      <c r="E4" s="62" t="inlineStr">
        <is>
          <t>—</t>
        </is>
      </c>
      <c r="F4" s="62" t="inlineStr">
        <is>
          <t>—</t>
        </is>
      </c>
      <c r="G4" s="62" t="inlineStr">
        <is>
          <t>Leishman §5</t>
        </is>
      </c>
      <c r="H4" s="62" t="inlineStr">
        <is>
          <t>Wheelbase↑; yaw_balance güncelle</t>
        </is>
      </c>
      <c r="I4" s="63" t="inlineStr">
        <is>
          <t>YÜKSEK</t>
        </is>
      </c>
    </row>
    <row r="5" ht="24" customHeight="1">
      <c r="A5" s="58" t="inlineStr">
        <is>
          <t>WBS 2</t>
        </is>
      </c>
      <c r="B5" s="59" t="inlineStr">
        <is>
          <t>CG Sapması</t>
        </is>
      </c>
      <c r="C5" s="59" t="inlineStr">
        <is>
          <t>cg.cg_deviation_mm</t>
        </is>
      </c>
      <c r="D5" s="59" t="inlineStr">
        <is>
          <t>—</t>
        </is>
      </c>
      <c r="E5" s="59" t="inlineStr">
        <is>
          <t>5</t>
        </is>
      </c>
      <c r="F5" s="59" t="inlineStr">
        <is>
          <t>mm</t>
        </is>
      </c>
      <c r="G5" s="59" t="inlineStr">
        <is>
          <t>EASA SC-VTOL §2510</t>
        </is>
      </c>
      <c r="H5" s="59" t="inlineStr">
        <is>
          <t>Bileşen pozisyonu; payload Δcg</t>
        </is>
      </c>
      <c r="I5" s="63" t="inlineStr">
        <is>
          <t>YÜKSEK</t>
        </is>
      </c>
    </row>
    <row r="6" ht="24" customHeight="1">
      <c r="A6" s="61" t="inlineStr">
        <is>
          <t>WBS 2</t>
        </is>
      </c>
      <c r="B6" s="62" t="inlineStr">
        <is>
          <t>Yaw Torque Dengesi [v3]</t>
        </is>
      </c>
      <c r="C6" s="62" t="inlineStr">
        <is>
          <t>yaw_balance.Q_imbalance_Nm</t>
        </is>
      </c>
      <c r="D6" s="62" t="inlineStr">
        <is>
          <t>—</t>
        </is>
      </c>
      <c r="E6" s="62" t="inlineStr">
        <is>
          <t>0.01</t>
        </is>
      </c>
      <c r="F6" s="62" t="inlineStr">
        <is>
          <t>N·m</t>
        </is>
      </c>
      <c r="G6" s="62" t="inlineStr">
        <is>
          <t>Mahony 2012</t>
        </is>
      </c>
      <c r="H6" s="62" t="inlineStr">
        <is>
          <t>rotation_dirs[] yeniden ata</t>
        </is>
      </c>
      <c r="I6" s="63" t="inlineStr">
        <is>
          <t>YÜKSEK</t>
        </is>
      </c>
    </row>
    <row r="7" ht="24" customHeight="1">
      <c r="A7" s="58" t="inlineStr">
        <is>
          <t>WBS 3</t>
        </is>
      </c>
      <c r="B7" s="59" t="inlineStr">
        <is>
          <t>T/W Oranı</t>
        </is>
      </c>
      <c r="C7" s="59" t="inlineStr">
        <is>
          <t>thrust_chain.TW_ratio</t>
        </is>
      </c>
      <c r="D7" s="59" t="inlineStr">
        <is>
          <t>2.0</t>
        </is>
      </c>
      <c r="E7" s="59" t="inlineStr">
        <is>
          <t>—</t>
        </is>
      </c>
      <c r="F7" s="59" t="inlineStr">
        <is>
          <t>—</t>
        </is>
      </c>
      <c r="G7" s="59" t="inlineStr">
        <is>
          <t>Raymer §17|NDARC</t>
        </is>
      </c>
      <c r="H7" s="59" t="inlineStr">
        <is>
          <t>Rotor çapı↑/MTOW↓</t>
        </is>
      </c>
      <c r="I7" s="60" t="inlineStr">
        <is>
          <t>KRİTİK</t>
        </is>
      </c>
    </row>
    <row r="8" ht="24" customHeight="1">
      <c r="A8" s="61" t="inlineStr">
        <is>
          <t>WBS 3</t>
        </is>
      </c>
      <c r="B8" s="62" t="inlineStr">
        <is>
          <t>Figure of Merit</t>
        </is>
      </c>
      <c r="C8" s="62" t="inlineStr">
        <is>
          <t>bemt.FM</t>
        </is>
      </c>
      <c r="D8" s="62" t="inlineStr">
        <is>
          <t>0.60</t>
        </is>
      </c>
      <c r="E8" s="62" t="inlineStr">
        <is>
          <t>0.85</t>
        </is>
      </c>
      <c r="F8" s="62" t="inlineStr">
        <is>
          <t>—</t>
        </is>
      </c>
      <c r="G8" s="62" t="inlineStr">
        <is>
          <t>Leishman §3 (Glauert iter)</t>
        </is>
      </c>
      <c r="H8" s="62" t="inlineStr">
        <is>
          <t>Twist/airfoil; Prandtl dahil</t>
        </is>
      </c>
      <c r="I8" s="60" t="inlineStr">
        <is>
          <t>KRİTİK</t>
        </is>
      </c>
    </row>
    <row r="9" ht="24" customHeight="1">
      <c r="A9" s="58" t="inlineStr">
        <is>
          <t>WBS 3</t>
        </is>
      </c>
      <c r="B9" s="59" t="inlineStr">
        <is>
          <t>Coaxial FM</t>
        </is>
      </c>
      <c r="C9" s="59" t="inlineStr">
        <is>
          <t>coax.FM_coax</t>
        </is>
      </c>
      <c r="D9" s="59" t="inlineStr">
        <is>
          <t>0.60</t>
        </is>
      </c>
      <c r="E9" s="59" t="inlineStr">
        <is>
          <t>—</t>
        </is>
      </c>
      <c r="F9" s="59" t="inlineStr">
        <is>
          <t>—</t>
        </is>
      </c>
      <c r="G9" s="59" t="inlineStr">
        <is>
          <t>Leishman §8 Fig8.17</t>
        </is>
      </c>
      <c r="H9" s="59" t="inlineStr">
        <is>
          <t>Alt rotor k_int güncelle</t>
        </is>
      </c>
      <c r="I9" s="60" t="inlineStr">
        <is>
          <t>KRİTİK</t>
        </is>
      </c>
    </row>
    <row r="10" ht="24" customHeight="1">
      <c r="A10" s="61" t="inlineStr">
        <is>
          <t>WBS 3</t>
        </is>
      </c>
      <c r="B10" s="62" t="inlineStr">
        <is>
          <t>Disk Yükleme</t>
        </is>
      </c>
      <c r="C10" s="62" t="inlineStr">
        <is>
          <t>momentum.DL_Nm2</t>
        </is>
      </c>
      <c r="D10" s="62" t="inlineStr">
        <is>
          <t>—</t>
        </is>
      </c>
      <c r="E10" s="62" t="inlineStr">
        <is>
          <t>300</t>
        </is>
      </c>
      <c r="F10" s="62" t="inlineStr">
        <is>
          <t>N/m²</t>
        </is>
      </c>
      <c r="G10" s="62" t="inlineStr">
        <is>
          <t>NDARC|Prouty</t>
        </is>
      </c>
      <c r="H10" s="62" t="inlineStr">
        <is>
          <t>Rotor çapı↑</t>
        </is>
      </c>
      <c r="I10" s="63" t="inlineStr">
        <is>
          <t>YÜKSEK</t>
        </is>
      </c>
    </row>
    <row r="11" ht="24" customHeight="1">
      <c r="A11" s="58" t="inlineStr">
        <is>
          <t>WBS 3</t>
        </is>
      </c>
      <c r="B11" s="59" t="inlineStr">
        <is>
          <t>Güç Yükleme</t>
        </is>
      </c>
      <c r="C11" s="59" t="inlineStr">
        <is>
          <t>momentum.PL_NW</t>
        </is>
      </c>
      <c r="D11" s="59" t="inlineStr">
        <is>
          <t>8.0</t>
        </is>
      </c>
      <c r="E11" s="59" t="inlineStr">
        <is>
          <t>—</t>
        </is>
      </c>
      <c r="F11" s="59" t="inlineStr">
        <is>
          <t>N/W</t>
        </is>
      </c>
      <c r="G11" s="59" t="inlineStr">
        <is>
          <t>NDARC</t>
        </is>
      </c>
      <c r="H11" s="59" t="inlineStr">
        <is>
          <t>Motor/pervane değiştir</t>
        </is>
      </c>
      <c r="I11" s="63" t="inlineStr">
        <is>
          <t>YÜKSEK</t>
        </is>
      </c>
    </row>
    <row r="12" ht="24" customHeight="1">
      <c r="A12" s="61" t="inlineStr">
        <is>
          <t>WBS 3</t>
        </is>
      </c>
      <c r="B12" s="62" t="inlineStr">
        <is>
          <t>ESC Burst Akım</t>
        </is>
      </c>
      <c r="C12" s="62" t="inlineStr">
        <is>
          <t>esc.I_burst_A</t>
        </is>
      </c>
      <c r="D12" s="62" t="inlineStr">
        <is>
          <t>—</t>
        </is>
      </c>
      <c r="E12" s="62" t="inlineStr">
        <is>
          <t>I_kalkış×1.1</t>
        </is>
      </c>
      <c r="F12" s="62" t="inlineStr">
        <is>
          <t>A</t>
        </is>
      </c>
      <c r="G12" s="62" t="inlineStr">
        <is>
          <t>PX4 Hw Std.|BLHeli_32</t>
        </is>
      </c>
      <c r="H12" s="62" t="inlineStr">
        <is>
          <t>ESC sınıf↑</t>
        </is>
      </c>
      <c r="I12" s="63" t="inlineStr">
        <is>
          <t>YÜKSEK</t>
        </is>
      </c>
    </row>
    <row r="13" ht="24" customHeight="1">
      <c r="A13" s="58" t="inlineStr">
        <is>
          <t>WBS 4</t>
        </is>
      </c>
      <c r="B13" s="59" t="inlineStr">
        <is>
          <t>Hover Uçuş Süresi</t>
        </is>
      </c>
      <c r="C13" s="59" t="inlineStr">
        <is>
          <t>energy_budget.t_hover_min</t>
        </is>
      </c>
      <c r="D13" s="59" t="inlineStr">
        <is>
          <t>end×1.2</t>
        </is>
      </c>
      <c r="E13" s="59" t="inlineStr">
        <is>
          <t>—</t>
        </is>
      </c>
      <c r="F13" s="59" t="inlineStr">
        <is>
          <t>dak</t>
        </is>
      </c>
      <c r="G13" s="59" t="inlineStr">
        <is>
          <t>ASTM F3005|FAA AC 20-184</t>
        </is>
      </c>
      <c r="H13" s="59" t="inlineStr">
        <is>
          <t>Batarya kapasitesi↑</t>
        </is>
      </c>
      <c r="I13" s="60" t="inlineStr">
        <is>
          <t>KRİTİK</t>
        </is>
      </c>
    </row>
    <row r="14" ht="24" customHeight="1">
      <c r="A14" s="61" t="inlineStr">
        <is>
          <t>WBS 4</t>
        </is>
      </c>
      <c r="B14" s="62" t="inlineStr">
        <is>
          <t>Batarya Rezerv</t>
        </is>
      </c>
      <c r="C14" s="62" t="inlineStr">
        <is>
          <t>energy_budget.reserve_pct</t>
        </is>
      </c>
      <c r="D14" s="62" t="inlineStr">
        <is>
          <t>20</t>
        </is>
      </c>
      <c r="E14" s="62" t="inlineStr">
        <is>
          <t>—</t>
        </is>
      </c>
      <c r="F14" s="62" t="inlineStr">
        <is>
          <t>%</t>
        </is>
      </c>
      <c r="G14" s="62" t="inlineStr">
        <is>
          <t>FAA AC 20-184</t>
        </is>
      </c>
      <c r="H14" s="62" t="inlineStr">
        <is>
          <t>Kapasite↑</t>
        </is>
      </c>
      <c r="I14" s="63" t="inlineStr">
        <is>
          <t>YÜKSEK</t>
        </is>
      </c>
    </row>
    <row r="15" ht="24" customHeight="1">
      <c r="A15" s="58" t="inlineStr">
        <is>
          <t>WBS 4</t>
        </is>
      </c>
      <c r="B15" s="59" t="inlineStr">
        <is>
          <t>BMS Tüm Korumalar</t>
        </is>
      </c>
      <c r="C15" s="59" t="inlineStr">
        <is>
          <t>bms.all_protections_active</t>
        </is>
      </c>
      <c r="D15" s="59" t="inlineStr">
        <is>
          <t>True</t>
        </is>
      </c>
      <c r="E15" s="59" t="inlineStr">
        <is>
          <t>—</t>
        </is>
      </c>
      <c r="F15" s="59" t="inlineStr">
        <is>
          <t>bool</t>
        </is>
      </c>
      <c r="G15" s="59" t="inlineStr">
        <is>
          <t>IEC 62619 [v4 fix]</t>
        </is>
      </c>
      <c r="H15" s="59" t="inlineStr">
        <is>
          <t>BMS güncelle; 5 koruma</t>
        </is>
      </c>
      <c r="I15" s="60" t="inlineStr">
        <is>
          <t>KRİTİK</t>
        </is>
      </c>
    </row>
    <row r="16" ht="24" customHeight="1">
      <c r="A16" s="61" t="inlineStr">
        <is>
          <t>WBS 4</t>
        </is>
      </c>
      <c r="B16" s="62" t="inlineStr">
        <is>
          <t>Batarya Termal Marj [v4]</t>
        </is>
      </c>
      <c r="C16" s="62" t="inlineStr">
        <is>
          <t>bat_thermal.T_margin_C</t>
        </is>
      </c>
      <c r="D16" s="62" t="inlineStr">
        <is>
          <t>10</t>
        </is>
      </c>
      <c r="E16" s="62" t="inlineStr">
        <is>
          <t>—</t>
        </is>
      </c>
      <c r="F16" s="62" t="inlineStr">
        <is>
          <t>°C</t>
        </is>
      </c>
      <c r="G16" s="62" t="inlineStr">
        <is>
          <t>IEC 62619 §7 [NEW]</t>
        </is>
      </c>
      <c r="H16" s="62" t="inlineStr">
        <is>
          <t>OTA BMS güncelle; soğutma ekle</t>
        </is>
      </c>
      <c r="I16" s="60" t="inlineStr">
        <is>
          <t>KRİTİK</t>
        </is>
      </c>
    </row>
    <row r="17" ht="24" customHeight="1">
      <c r="A17" s="58" t="inlineStr">
        <is>
          <t>WBS 4</t>
        </is>
      </c>
      <c r="B17" s="59" t="inlineStr">
        <is>
          <t>GPS SNR</t>
        </is>
      </c>
      <c r="C17" s="59" t="inlineStr">
        <is>
          <t>emi.GPS_SNR_dB</t>
        </is>
      </c>
      <c r="D17" s="59" t="inlineStr">
        <is>
          <t>35</t>
        </is>
      </c>
      <c r="E17" s="59" t="inlineStr">
        <is>
          <t>—</t>
        </is>
      </c>
      <c r="F17" s="59" t="inlineStr">
        <is>
          <t>dB</t>
        </is>
      </c>
      <c r="G17" s="59" t="inlineStr">
        <is>
          <t>DO-316A|RTCA</t>
        </is>
      </c>
      <c r="H17" s="59" t="inlineStr">
        <is>
          <t>Motor/ESC ayrımı↑; kalkan</t>
        </is>
      </c>
      <c r="I17" s="63" t="inlineStr">
        <is>
          <t>YÜKSEK</t>
        </is>
      </c>
    </row>
    <row r="18" ht="24" customHeight="1">
      <c r="A18" s="61" t="inlineStr">
        <is>
          <t>WBS 5</t>
        </is>
      </c>
      <c r="B18" s="62" t="inlineStr">
        <is>
          <t>Rotor Etkileşim Kaybı</t>
        </is>
      </c>
      <c r="C18" s="62" t="inlineStr">
        <is>
          <t>interaction.efficiency_loss_pct</t>
        </is>
      </c>
      <c r="D18" s="62" t="inlineStr">
        <is>
          <t>—</t>
        </is>
      </c>
      <c r="E18" s="62" t="inlineStr">
        <is>
          <t>8</t>
        </is>
      </c>
      <c r="F18" s="62" t="inlineStr">
        <is>
          <t>%</t>
        </is>
      </c>
      <c r="G18" s="62" t="inlineStr">
        <is>
          <t>Leishman §5</t>
        </is>
      </c>
      <c r="H18" s="62" t="inlineStr">
        <is>
          <t>s/D↑</t>
        </is>
      </c>
      <c r="I18" s="64" t="inlineStr">
        <is>
          <t>ORTA</t>
        </is>
      </c>
    </row>
    <row r="19" ht="24" customHeight="1">
      <c r="A19" s="58" t="inlineStr">
        <is>
          <t>WBS 6</t>
        </is>
      </c>
      <c r="B19" s="59" t="inlineStr">
        <is>
          <t>Yapısal MS</t>
        </is>
      </c>
      <c r="C19" s="59" t="inlineStr">
        <is>
          <t>fea.MS_min</t>
        </is>
      </c>
      <c r="D19" s="59" t="inlineStr">
        <is>
          <t>1.5</t>
        </is>
      </c>
      <c r="E19" s="59" t="inlineStr">
        <is>
          <t>—</t>
        </is>
      </c>
      <c r="F19" s="59" t="inlineStr">
        <is>
          <t>—</t>
        </is>
      </c>
      <c r="G19" s="59" t="inlineStr">
        <is>
          <t>MIL-HDBK-5J|SC-VTOL §2301</t>
        </is>
      </c>
      <c r="H19" s="59" t="inlineStr">
        <is>
          <t>Kol kalınlık↑</t>
        </is>
      </c>
      <c r="I19" s="60" t="inlineStr">
        <is>
          <t>KRİTİK</t>
        </is>
      </c>
    </row>
    <row r="20" ht="24" customHeight="1">
      <c r="A20" s="61" t="inlineStr">
        <is>
          <t>WBS 6</t>
        </is>
      </c>
      <c r="B20" s="62" t="inlineStr">
        <is>
          <t>Motor Mount TR [v3]</t>
        </is>
      </c>
      <c r="C20" s="62" t="inlineStr">
        <is>
          <t>mount_stiffness.TR_at_hover</t>
        </is>
      </c>
      <c r="D20" s="62" t="inlineStr">
        <is>
          <t>—</t>
        </is>
      </c>
      <c r="E20" s="62" t="inlineStr">
        <is>
          <t>0.15</t>
        </is>
      </c>
      <c r="F20" s="62" t="inlineStr">
        <is>
          <t>—</t>
        </is>
      </c>
      <c r="G20" s="62" t="inlineStr">
        <is>
          <t>Rao Mech.Vib.</t>
        </is>
      </c>
      <c r="H20" s="62" t="inlineStr">
        <is>
          <t>k_mount↑; malzeme değiştir</t>
        </is>
      </c>
      <c r="I20" s="63" t="inlineStr">
        <is>
          <t>YÜKSEK</t>
        </is>
      </c>
    </row>
    <row r="21" ht="24" customHeight="1">
      <c r="A21" s="58" t="inlineStr">
        <is>
          <t>WBS 6</t>
        </is>
      </c>
      <c r="B21" s="59" t="inlineStr">
        <is>
          <t>IMU Titreşim RMS</t>
        </is>
      </c>
      <c r="C21" s="59" t="inlineStr">
        <is>
          <t>campbell.imu_vib_g_rms</t>
        </is>
      </c>
      <c r="D21" s="59" t="inlineStr">
        <is>
          <t>—</t>
        </is>
      </c>
      <c r="E21" s="59" t="inlineStr">
        <is>
          <t>0.3</t>
        </is>
      </c>
      <c r="F21" s="59" t="inlineStr">
        <is>
          <t>g</t>
        </is>
      </c>
      <c r="G21" s="59" t="inlineStr">
        <is>
          <t>PX4 Vibration Guide</t>
        </is>
      </c>
      <c r="H21" s="59" t="inlineStr">
        <is>
          <t>Anti-vib mount; balans</t>
        </is>
      </c>
      <c r="I21" s="63" t="inlineStr">
        <is>
          <t>YÜKSEK</t>
        </is>
      </c>
    </row>
    <row r="22" ht="24" customHeight="1">
      <c r="A22" s="61" t="inlineStr">
        <is>
          <t>WBS 6</t>
        </is>
      </c>
      <c r="B22" s="62" t="inlineStr">
        <is>
          <t>Motor Termal Marj</t>
        </is>
      </c>
      <c r="C22" s="62" t="inlineStr">
        <is>
          <t>thermal.T_margin_pct</t>
        </is>
      </c>
      <c r="D22" s="62" t="inlineStr">
        <is>
          <t>20</t>
        </is>
      </c>
      <c r="E22" s="62" t="inlineStr">
        <is>
          <t>—</t>
        </is>
      </c>
      <c r="F22" s="62" t="inlineStr">
        <is>
          <t>%</t>
        </is>
      </c>
      <c r="G22" s="62" t="inlineStr">
        <is>
          <t>IEC 60034-1|MIL-STD-810H</t>
        </is>
      </c>
      <c r="H22" s="62" t="inlineStr">
        <is>
          <t>Soğutma↑/motor↑</t>
        </is>
      </c>
      <c r="I22" s="63" t="inlineStr">
        <is>
          <t>YÜKSEK</t>
        </is>
      </c>
    </row>
    <row r="23" ht="24" customHeight="1">
      <c r="A23" s="58" t="inlineStr">
        <is>
          <t>WBS 7</t>
        </is>
      </c>
      <c r="B23" s="59" t="inlineStr">
        <is>
          <t>Kontrol BW</t>
        </is>
      </c>
      <c r="C23" s="59" t="inlineStr">
        <is>
          <t>controller.bandwidth_Hz</t>
        </is>
      </c>
      <c r="D23" s="59" t="inlineStr">
        <is>
          <t>10</t>
        </is>
      </c>
      <c r="E23" s="59" t="inlineStr">
        <is>
          <t>—</t>
        </is>
      </c>
      <c r="F23" s="59" t="inlineStr">
        <is>
          <t>Hz</t>
        </is>
      </c>
      <c r="G23" s="59" t="inlineStr">
        <is>
          <t>ADS-33E-PRF|MIL-F-9490D</t>
        </is>
      </c>
      <c r="H23" s="59" t="inlineStr">
        <is>
          <t>LQR Q↑; anti-windup</t>
        </is>
      </c>
      <c r="I23" s="60" t="inlineStr">
        <is>
          <t>KRİTİK</t>
        </is>
      </c>
    </row>
    <row r="24" ht="24" customHeight="1">
      <c r="A24" s="61" t="inlineStr">
        <is>
          <t>WBS 7</t>
        </is>
      </c>
      <c r="B24" s="62" t="inlineStr">
        <is>
          <t>Dual IMU Failover [v4]</t>
        </is>
      </c>
      <c r="C24" s="62" t="inlineStr">
        <is>
          <t>dual_imu.failover_ms</t>
        </is>
      </c>
      <c r="D24" s="62" t="inlineStr">
        <is>
          <t>—</t>
        </is>
      </c>
      <c r="E24" s="62" t="inlineStr">
        <is>
          <t>100</t>
        </is>
      </c>
      <c r="F24" s="62" t="inlineStr">
        <is>
          <t>ms</t>
        </is>
      </c>
      <c r="G24" s="62" t="inlineStr">
        <is>
          <t>DO-178C Level C [NEW]</t>
        </is>
      </c>
      <c r="H24" s="62" t="inlineStr">
        <is>
          <t>Sensor fusion ağırlıkları</t>
        </is>
      </c>
      <c r="I24" s="60" t="inlineStr">
        <is>
          <t>KRİTİK</t>
        </is>
      </c>
    </row>
    <row r="25" ht="24" customHeight="1">
      <c r="A25" s="58" t="inlineStr">
        <is>
          <t>WBS 7</t>
        </is>
      </c>
      <c r="B25" s="59" t="inlineStr">
        <is>
          <t>ESC Health Score [v4]</t>
        </is>
      </c>
      <c r="C25" s="59" t="inlineStr">
        <is>
          <t>motor_health.health_scores[]</t>
        </is>
      </c>
      <c r="D25" s="59" t="inlineStr">
        <is>
          <t>0.8</t>
        </is>
      </c>
      <c r="E25" s="59" t="inlineStr">
        <is>
          <t>—</t>
        </is>
      </c>
      <c r="F25" s="59" t="inlineStr">
        <is>
          <t>—</t>
        </is>
      </c>
      <c r="G25" s="59" t="inlineStr">
        <is>
          <t>DSHOT telemetri [NEW]</t>
        </is>
      </c>
      <c r="H25" s="59" t="inlineStr">
        <is>
          <t>Motor değiştir; ESC kontrol</t>
        </is>
      </c>
      <c r="I25" s="63" t="inlineStr">
        <is>
          <t>YÜKSEK</t>
        </is>
      </c>
    </row>
    <row r="26" ht="24" customHeight="1">
      <c r="A26" s="61" t="inlineStr">
        <is>
          <t>WBS 9</t>
        </is>
      </c>
      <c r="B26" s="62" t="inlineStr">
        <is>
          <t>Compass-Mot Residual [v4]</t>
        </is>
      </c>
      <c r="C26" s="62" t="inlineStr">
        <is>
          <t>compass_mot.residual_mGauss</t>
        </is>
      </c>
      <c r="D26" s="62" t="inlineStr">
        <is>
          <t>—</t>
        </is>
      </c>
      <c r="E26" s="62" t="inlineStr">
        <is>
          <t>3</t>
        </is>
      </c>
      <c r="F26" s="62" t="inlineStr">
        <is>
          <t>mGauss</t>
        </is>
      </c>
      <c r="G26" s="62" t="inlineStr">
        <is>
          <t>RTCA DO-316A [NEW]</t>
        </is>
      </c>
      <c r="H26" s="62" t="inlineStr">
        <is>
          <t>Comp matrix yeniden hesapla</t>
        </is>
      </c>
      <c r="I26" s="63" t="inlineStr">
        <is>
          <t>YÜKSEK</t>
        </is>
      </c>
    </row>
    <row r="27" ht="24" customHeight="1">
      <c r="A27" s="58" t="inlineStr">
        <is>
          <t>WBS 10</t>
        </is>
      </c>
      <c r="B27" s="59" t="inlineStr">
        <is>
          <t>SITL Hover Roll RMS</t>
        </is>
      </c>
      <c r="C27" s="59" t="inlineStr">
        <is>
          <t>sitl_hover.roll_rms_deg</t>
        </is>
      </c>
      <c r="D27" s="59" t="inlineStr">
        <is>
          <t>—</t>
        </is>
      </c>
      <c r="E27" s="59" t="inlineStr">
        <is>
          <t>1.0</t>
        </is>
      </c>
      <c r="F27" s="59" t="inlineStr">
        <is>
          <t>°</t>
        </is>
      </c>
      <c r="G27" s="59" t="inlineStr">
        <is>
          <t>PX4 QA|DO-178C</t>
        </is>
      </c>
      <c r="H27" s="59" t="inlineStr">
        <is>
          <t>PID↑; altitude_ctrl</t>
        </is>
      </c>
      <c r="I27" s="60" t="inlineStr">
        <is>
          <t>KRİTİK</t>
        </is>
      </c>
    </row>
    <row r="28" ht="24" customHeight="1">
      <c r="A28" s="61" t="inlineStr">
        <is>
          <t>WBS 11</t>
        </is>
      </c>
      <c r="B28" s="62" t="inlineStr">
        <is>
          <t>BEMT Ölçüm Hatası</t>
        </is>
      </c>
      <c r="C28" s="62" t="inlineStr">
        <is>
          <t>bench.bemt_err_pct</t>
        </is>
      </c>
      <c r="D28" s="62" t="inlineStr">
        <is>
          <t>—</t>
        </is>
      </c>
      <c r="E28" s="62" t="inlineStr">
        <is>
          <t>10</t>
        </is>
      </c>
      <c r="F28" s="62" t="inlineStr">
        <is>
          <t>%</t>
        </is>
      </c>
      <c r="G28" s="62" t="inlineStr">
        <is>
          <t>ASTM F3002 §8</t>
        </is>
      </c>
      <c r="H28" s="62" t="inlineStr">
        <is>
          <t>BEMT param güncelle</t>
        </is>
      </c>
      <c r="I28" s="63" t="inlineStr">
        <is>
          <t>YÜKSEK</t>
        </is>
      </c>
    </row>
    <row r="29" ht="24" customHeight="1">
      <c r="A29" s="58" t="inlineStr">
        <is>
          <t>WBS 11</t>
        </is>
      </c>
      <c r="B29" s="59" t="inlineStr">
        <is>
          <t>FMEA P(katastrofik)</t>
        </is>
      </c>
      <c r="C29" s="59" t="inlineStr">
        <is>
          <t>safety.FTA_probability</t>
        </is>
      </c>
      <c r="D29" s="59" t="inlineStr">
        <is>
          <t>—</t>
        </is>
      </c>
      <c r="E29" s="59" t="inlineStr">
        <is>
          <t>1e-7</t>
        </is>
      </c>
      <c r="F29" s="59" t="inlineStr">
        <is>
          <t>/saat</t>
        </is>
      </c>
      <c r="G29" s="59" t="inlineStr">
        <is>
          <t>ARP4761A|JARUS SORA</t>
        </is>
      </c>
      <c r="H29" s="59" t="inlineStr">
        <is>
          <t>Redundancy mimarisi</t>
        </is>
      </c>
      <c r="I29" s="60" t="inlineStr">
        <is>
          <t>KRİTİK</t>
        </is>
      </c>
    </row>
    <row r="30" ht="24" customHeight="1">
      <c r="A30" s="61" t="inlineStr">
        <is>
          <t>WBS 11</t>
        </is>
      </c>
      <c r="B30" s="62" t="inlineStr">
        <is>
          <t>DO-178C DAL Uyumu [v4]</t>
        </is>
      </c>
      <c r="C30" s="62" t="inlineStr">
        <is>
          <t>sw_validation.DAL_level</t>
        </is>
      </c>
      <c r="D30" s="62">
        <f>SAIL uyumlu</f>
        <v/>
      </c>
      <c r="E30" s="62" t="inlineStr">
        <is>
          <t>—</t>
        </is>
      </c>
      <c r="F30" s="62" t="inlineStr">
        <is>
          <t>—</t>
        </is>
      </c>
      <c r="G30" s="62" t="inlineStr">
        <is>
          <t>DO-178C [NEW]</t>
        </is>
      </c>
      <c r="H30" s="62" t="inlineStr">
        <is>
          <t>DAL seviyesi yükselt</t>
        </is>
      </c>
      <c r="I30" s="60" t="inlineStr">
        <is>
          <t>KRİTİK</t>
        </is>
      </c>
    </row>
    <row r="31" ht="24" customHeight="1">
      <c r="A31" s="58" t="inlineStr">
        <is>
          <t>WBS 15</t>
        </is>
      </c>
      <c r="B31" s="59" t="inlineStr">
        <is>
          <t>CI Kod Kapsama [v4]</t>
        </is>
      </c>
      <c r="C31" s="59" t="inlineStr">
        <is>
          <t>ci_config.coverage_pct</t>
        </is>
      </c>
      <c r="D31" s="59" t="inlineStr">
        <is>
          <t>80</t>
        </is>
      </c>
      <c r="E31" s="59" t="inlineStr">
        <is>
          <t>—</t>
        </is>
      </c>
      <c r="F31" s="59" t="inlineStr">
        <is>
          <t>%</t>
        </is>
      </c>
      <c r="G31" s="59" t="inlineStr">
        <is>
          <t>DO-178C §6|IEEE 829 [NEW]</t>
        </is>
      </c>
      <c r="H31" s="59" t="inlineStr">
        <is>
          <t>Test case ekle</t>
        </is>
      </c>
      <c r="I31" s="63" t="inlineStr">
        <is>
          <t>YÜKSEK</t>
        </is>
      </c>
    </row>
    <row r="32" ht="24" customHeight="1">
      <c r="A32" s="61" t="inlineStr">
        <is>
          <t>WBS 15</t>
        </is>
      </c>
      <c r="B32" s="62" t="inlineStr">
        <is>
          <t>MISRA Critical [v4]</t>
        </is>
      </c>
      <c r="C32" s="62" t="inlineStr">
        <is>
          <t>static_analysis.MISRA_critical</t>
        </is>
      </c>
      <c r="D32" s="62" t="inlineStr">
        <is>
          <t>—</t>
        </is>
      </c>
      <c r="E32" s="62" t="inlineStr">
        <is>
          <t>0</t>
        </is>
      </c>
      <c r="F32" s="62" t="inlineStr">
        <is>
          <t>adet</t>
        </is>
      </c>
      <c r="G32" s="62" t="inlineStr">
        <is>
          <t>MISRA-C:2012 [NEW]</t>
        </is>
      </c>
      <c r="H32" s="62" t="inlineStr">
        <is>
          <t>Kod düzelt; review</t>
        </is>
      </c>
      <c r="I32" s="60" t="inlineStr">
        <is>
          <t>KRİTİK</t>
        </is>
      </c>
    </row>
    <row r="33" ht="24" customHeight="1">
      <c r="A33" s="58" t="inlineStr">
        <is>
          <t>WBS 13</t>
        </is>
      </c>
      <c r="B33" s="59" t="inlineStr">
        <is>
          <t>Perf Zarfı T/W_worst [v4]</t>
        </is>
      </c>
      <c r="C33" s="59" t="inlineStr">
        <is>
          <t>perf_envelope.TW_worst_case</t>
        </is>
      </c>
      <c r="D33" s="59" t="inlineStr">
        <is>
          <t>1.5</t>
        </is>
      </c>
      <c r="E33" s="59" t="inlineStr">
        <is>
          <t>—</t>
        </is>
      </c>
      <c r="F33" s="59" t="inlineStr">
        <is>
          <t>—</t>
        </is>
      </c>
      <c r="G33" s="59" t="inlineStr">
        <is>
          <t>ICAO Doc 8168 [NEW]</t>
        </is>
      </c>
      <c r="H33" s="59" t="inlineStr">
        <is>
          <t>Rotor boyutunu revize</t>
        </is>
      </c>
      <c r="I33" s="63" t="inlineStr">
        <is>
          <t>YÜKSEK</t>
        </is>
      </c>
    </row>
    <row r="34" ht="24" customHeight="1">
      <c r="A34" s="61" t="inlineStr">
        <is>
          <t>WBS 14</t>
        </is>
      </c>
      <c r="B34" s="62" t="inlineStr">
        <is>
          <t>Final Cross-Check</t>
        </is>
      </c>
      <c r="C34" s="62" t="inlineStr">
        <is>
          <t>final_design.cross_checks_passed</t>
        </is>
      </c>
      <c r="D34" s="62" t="inlineStr">
        <is>
          <t>True</t>
        </is>
      </c>
      <c r="E34" s="62" t="inlineStr">
        <is>
          <t>—</t>
        </is>
      </c>
      <c r="F34" s="62" t="inlineStr">
        <is>
          <t>bool</t>
        </is>
      </c>
      <c r="G34" s="62" t="inlineStr">
        <is>
          <t>Pydantic v2</t>
        </is>
      </c>
      <c r="H34" s="62" t="inlineStr">
        <is>
          <t>JSON tutarsızlığı düzelt</t>
        </is>
      </c>
      <c r="I34" s="60" t="inlineStr">
        <is>
          <t>KRİTİK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2026-05-05T16:59:13Z</dcterms:created>
  <dcterms:modified xmlns:dcterms="http://purl.org/dc/terms/" xmlns:xsi="http://www.w3.org/2001/XMLSchema-instance" xsi:type="dcterms:W3CDTF">2026-05-05T16:59:13Z</dcterms:modified>
</cp:coreProperties>
</file>