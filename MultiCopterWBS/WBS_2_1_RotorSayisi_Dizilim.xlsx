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WBS 2.1 KAPAK" sheetId="1" state="visible" r:id="rId3"/>
    <sheet name="📊 Karar Algoritması" sheetId="2" state="visible" r:id="rId4"/>
    <sheet name="🚁 Konfig. Kataloğu" sheetId="3" state="visible" r:id="rId5"/>
    <sheet name="🔄 Dönüş Yön Ataması" sheetId="4" state="visible" r:id="rId6"/>
    <sheet name="⚡ OEI Redundancy Analizi" sheetId="5" state="visible" r:id="rId7"/>
    <sheet name="🐍 config_select.p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<sst xmlns="http://schemas.openxmlformats.org/spreadsheetml/2006/main" count="1057" uniqueCount="748">
  <si>
    <t xml:space="preserve">🚁  WBS 2.1 — ROTOR SAYISI &amp; DİZİLİM SEÇİMİ
MULTİCOPTER TASARIMI İÇİN KONFİGÜRASYON SEÇME ALGORİTMASI
Karar Ağacı | Dönüş Yönü Ataması | OEI Analizi | JARUS SORA Uyumlu</t>
  </si>
  <si>
    <t xml:space="preserve">Amaç:</t>
  </si>
  <si>
    <t xml:space="preserve">WBS 1.5 tradeoff.json + requirements.json girdilerinden sistematik rotor sayısı ve konfigürasyon kararını verir; CW/CCW dönüş yönlerini atar; config.json çıktısı üretir.</t>
  </si>
  <si>
    <t xml:space="preserve">Girdi:</t>
  </si>
  <si>
    <t xml:space="preserve">tradeoff.json (selected_config, n_rotors, coaxial_flag, redundancy_level) | requirements.json (MTOW, payload_kg, BVLOS_flag, SAIL_level) | regulation.json (OEI_min)</t>
  </si>
  <si>
    <t xml:space="preserve">Çıktı:</t>
  </si>
  <si>
    <t xml:space="preserve">config.json: n_rotors, layout(X/H/+/Y6/coax), coaxial_flag, arm_fold_flag, redundancy, rotation_dirs[], motor_positions_m[], yaw_balanced_flag</t>
  </si>
  <si>
    <t xml:space="preserve">LLM Script:</t>
  </si>
  <si>
    <t xml:space="preserve">config_select.py  # payload→n karar; layout seçimi; CW/CCW atama; OEI doğrulama</t>
  </si>
  <si>
    <t xml:space="preserve">Kabul Kriteri:</t>
  </si>
  <si>
    <t xml:space="preserve">Konfigürasyon gerekçeli; rotation_dirs[] CW/CCW dönüşleri atanmış (yaw dengesi); OEI ≥ minimum seviye; config.json Pydantic ile doğrulanmış</t>
  </si>
  <si>
    <t xml:space="preserve">Sonraki WBS:</t>
  </si>
  <si>
    <t xml:space="preserve">WBS 2.2 Rotor Çapı &amp; Wheelbase Hesabı | WBS 2.3 Yaw Torque Dengesi | WBS 7.2 Motor Mixing Matrix</t>
  </si>
  <si>
    <t xml:space="preserve">Standartlar:</t>
  </si>
  <si>
    <t xml:space="preserve">NDARC NASA/TM-2015-218751 | Prouty Rotorcraft Aerodynamics | JARUS SORA v2.5 | EASA SC-VTOL §2530 | ADS-33E-PRF | Mahony 2012</t>
  </si>
  <si>
    <t xml:space="preserve">Versiyon:</t>
  </si>
  <si>
    <t xml:space="preserve">v4.0 — Nisan 2026 | WBS 2.1 Detay Rehberi | 14 Konfigürasyon Tipi | 6 Şema Tablosu</t>
  </si>
  <si>
    <t xml:space="preserve">RENK AÇIKLAMALARI:</t>
  </si>
  <si>
    <t xml:space="preserve">  ZORUNLU — config.json'da mutlaka dolu</t>
  </si>
  <si>
    <t xml:space="preserve">  ÖNERİLEN — Tasarım kalitesini artırır</t>
  </si>
  <si>
    <t xml:space="preserve">  OPSİYONEL — Varsa iyileştirme; yoksa varsayılan</t>
  </si>
  <si>
    <t xml:space="preserve">  KOŞULLU — Belirli konfigürasyonlarda gereklidir</t>
  </si>
  <si>
    <t xml:space="preserve">SAYFA YAPISI:</t>
  </si>
  <si>
    <t xml:space="preserve">Sayfa</t>
  </si>
  <si>
    <t xml:space="preserve">İçerik</t>
  </si>
  <si>
    <t xml:space="preserve">📋 WBS 2.1 KAPAK</t>
  </si>
  <si>
    <t xml:space="preserve">Amaç, girdi, çıktı, standartlar</t>
  </si>
  <si>
    <t xml:space="preserve">📊 Karar Algoritması</t>
  </si>
  <si>
    <t xml:space="preserve">Adım adım n_rotors &amp; layout seçim tablosu (78 kriter)</t>
  </si>
  <si>
    <t xml:space="preserve">🚁 Konfig. Kataloğu</t>
  </si>
  <si>
    <t xml:space="preserve">14 konfigürasyon tipi: geometri, OEI, SAIL uyumu</t>
  </si>
  <si>
    <t xml:space="preserve">🔄 Dönüş Yön Ataması</t>
  </si>
  <si>
    <t xml:space="preserve">CW/CCW rotation_dirs[] standart şemaları</t>
  </si>
  <si>
    <t xml:space="preserve">⚡ OEI Redundancy</t>
  </si>
  <si>
    <t xml:space="preserve">Motor arıza analizi &amp; T/W düşüşü hesabı</t>
  </si>
  <si>
    <t xml:space="preserve">🐍 config_select.py</t>
  </si>
  <si>
    <t xml:space="preserve">Tam Python kodu — Pydantic doğrulama dahil</t>
  </si>
  <si>
    <t xml:space="preserve">WBS 2.1 — ROTOR SAYISI &amp; DİZİLİM KARAR TABLOSU | 5 Adım Algoritma | config.json</t>
  </si>
  <si>
    <t xml:space="preserve">Adım</t>
  </si>
  <si>
    <t xml:space="preserve">Parametre</t>
  </si>
  <si>
    <t xml:space="preserve">Karar/Kural</t>
  </si>
  <si>
    <t xml:space="preserve">Birim</t>
  </si>
  <si>
    <t xml:space="preserve">Veri Tipi</t>
  </si>
  <si>
    <t xml:space="preserve">Koşul/Kısıt</t>
  </si>
  <si>
    <t xml:space="preserve">Zorunluluk</t>
  </si>
  <si>
    <t xml:space="preserve">Varsayılan</t>
  </si>
  <si>
    <t xml:space="preserve">Kaynak</t>
  </si>
  <si>
    <t xml:space="preserve">LLM Çıktısı</t>
  </si>
  <si>
    <t xml:space="preserve">Standart</t>
  </si>
  <si>
    <t xml:space="preserve">ADIM 1: PAYLOAD &amp; OEI GEREKSİNİMİNDEN ROTOR SAYISI BELİRLE</t>
  </si>
  <si>
    <t xml:space="preserve">1.1</t>
  </si>
  <si>
    <t xml:space="preserve">payload_mass_kg</t>
  </si>
  <si>
    <t xml:space="preserve">Payload kütlesini payload sınıfına dönüştür
0–3 kg → n_min=4 | 3–15 kg → n_min=6
15–50 kg → n_min=8 | &gt;50 kg → n_min≥12</t>
  </si>
  <si>
    <t xml:space="preserve">kg</t>
  </si>
  <si>
    <t xml:space="preserve">Float &gt;0</t>
  </si>
  <si>
    <t xml:space="preserve">payload_class → n_min belirlenir
BVLOS=True → n_min ≥ 6</t>
  </si>
  <si>
    <t xml:space="preserve">🟢 ZORUNLU</t>
  </si>
  <si>
    <t xml:space="preserve">—</t>
  </si>
  <si>
    <t xml:space="preserve">WBS 1.1 mission_profile.json
requirements.json</t>
  </si>
  <si>
    <t xml:space="preserve">n_min (int)</t>
  </si>
  <si>
    <t xml:space="preserve">ASTM F3002-14a | Raymer §17</t>
  </si>
  <si>
    <t xml:space="preserve">1.2</t>
  </si>
  <si>
    <t xml:space="preserve">OEI_requirement</t>
  </si>
  <si>
    <t xml:space="preserve">OEI hedefini karşılayan minimum rotor sayısı
OEI=N → n≥4 | OEI=N+1 → n≥6
OEI=N+2 → n≥8 | OEI=N+3 → n≥12
OEI=N+4 → n≥16</t>
  </si>
  <si>
    <t xml:space="preserve">Enum</t>
  </si>
  <si>
    <t xml:space="preserve">BVLOS=True → min OEI=N+1
SAIL-IV+ → min OEI=N+1</t>
  </si>
  <si>
    <t xml:space="preserve">N (yedek yok)</t>
  </si>
  <si>
    <t xml:space="preserve">WBS 1.2 requirements.json
WBS 1.3 regulation.json</t>
  </si>
  <si>
    <t xml:space="preserve">n_from_OEI (int)</t>
  </si>
  <si>
    <t xml:space="preserve">EASA SC-VTOL §2530
JARUS SORA OSO#14</t>
  </si>
  <si>
    <t xml:space="preserve">1.3</t>
  </si>
  <si>
    <t xml:space="preserve">n_rotors_final</t>
  </si>
  <si>
    <t xml:space="preserve">n_rotors = max(n_min_payload, n_from_OEI, n_from_SAIL)
BVLOS + yoğun alan → N+1 minimum
Coaxial flag → n_rotors efektif kol sayısının 2 katı</t>
  </si>
  <si>
    <t xml:space="preserve">Int ≥ 4</t>
  </si>
  <si>
    <t xml:space="preserve">n ∈ {4,6,8,12,16,18,24,32}
Coaxial: kol×2 motor</t>
  </si>
  <si>
    <t xml:space="preserve">tradeoff.json'dan al</t>
  </si>
  <si>
    <t xml:space="preserve">WBS 1.5 tradeoff.json</t>
  </si>
  <si>
    <t xml:space="preserve">n_rotors (int)</t>
  </si>
  <si>
    <t xml:space="preserve">NDARC NASA/TM-2015
NDARC §5</t>
  </si>
  <si>
    <t xml:space="preserve">ADIM 2: ÇERÇEVE DİZİLİMİ (LAYOUT) SEÇİMİ</t>
  </si>
  <si>
    <t xml:space="preserve">2.1</t>
  </si>
  <si>
    <t xml:space="preserve">layout_type</t>
  </si>
  <si>
    <t xml:space="preserve">n=4 → X (quad-X) veya + (quad-plus)
n=6 → X (hex-X) veya H (hex-H)
n=6 coax → Y6 (Y6-coaxial)
n=8 flat → X8 (octo-X flat)
n=8 coax → X4-coax (4 çift kol coaxial)
n=12 flat → X12 (dodecacopter)
n=12 coax → Hex-coax (6 kol×2)
n=16 flat → X16 | n=18 → DEP-ring
n=24/32 → modüler ring/matrix</t>
  </si>
  <si>
    <t xml:space="preserve">Görüntüleme görevi → H (gimbal boşluğu)
Yük taşıma → X (simetri)
Dar alan → Y6 veya compact</t>
  </si>
  <si>
    <t xml:space="preserve">X (en yaygın)</t>
  </si>
  <si>
    <t xml:space="preserve">WBS 1.5 tradeoff.json
mission_profile.json</t>
  </si>
  <si>
    <t xml:space="preserve">layout (str)</t>
  </si>
  <si>
    <t xml:space="preserve">Prouty Rotorcraft Aero
NDARC §5</t>
  </si>
  <si>
    <t xml:space="preserve">2.2</t>
  </si>
  <si>
    <t xml:space="preserve">coaxial_flag</t>
  </si>
  <si>
    <t xml:space="preserve">True → üst/alt çift rotor, kol başına 2 motor
False → tek düzlem, her kol 1 motor
Coaxial FM hedefi 0.60–0.65 (flat FM ~0.65–0.75)</t>
  </si>
  <si>
    <t xml:space="preserve">Bool</t>
  </si>
  <si>
    <t xml:space="preserve">Coaxial → FM %10-20 düşük
FM≥0.60 hedefi korunmalı
WBS 3.4 coax_bemt ile doğrulanacak</t>
  </si>
  <si>
    <t xml:space="preserve">False</t>
  </si>
  <si>
    <t xml:space="preserve">WBS 1.5 tradeoff.json
Leishman §8</t>
  </si>
  <si>
    <t xml:space="preserve">coaxial_flag (bool)</t>
  </si>
  <si>
    <t xml:space="preserve">Leishman §8
Prouty §4</t>
  </si>
  <si>
    <t xml:space="preserve">2.3</t>
  </si>
  <si>
    <t xml:space="preserve">arm_fold_flag</t>
  </si>
  <si>
    <t xml:space="preserve">Kollar katlanabilir mi?
True → katlanabilir menteşe, +%5 kütle
False → rijit kol</t>
  </si>
  <si>
    <t xml:space="preserve">Taşıma/depolama kısıtı varsa True
Kol katlanma mekanizması → +%5 kütle marjı
WBS 2.5 arm_cad.py'ye girdi</t>
  </si>
  <si>
    <t xml:space="preserve">🟡 ÖNERİLEN</t>
  </si>
  <si>
    <t xml:space="preserve">mission_profile.json 2.4
WBS 1.1 girdi parametresi</t>
  </si>
  <si>
    <t xml:space="preserve">arm_fold_flag (bool)</t>
  </si>
  <si>
    <t xml:space="preserve">MIL-HDBK-516C §1</t>
  </si>
  <si>
    <t xml:space="preserve">ADIM 3: MOTOR KONUMLARINIn HESABI</t>
  </si>
  <si>
    <t xml:space="preserve">3.1</t>
  </si>
  <si>
    <t xml:space="preserve">motor_positions_m[]</t>
  </si>
  <si>
    <t xml:space="preserve">Motor konumları (x,y,z) [m] kütle merkezine göre
X dizilim: φ_i = (i-1)×360°/n + offset_deg
H dizilim: ön/arka offset ile asimetrik
Coaxial: üst/alt z koordinatları farklı</t>
  </si>
  <si>
    <t xml:space="preserve">m</t>
  </si>
  <si>
    <t xml:space="preserve">Float array</t>
  </si>
  <si>
    <t xml:space="preserve">Tüm motorlar eşit radyüste (flat)
Y ekseni simetrik → CG sapması &lt; 5 mm
WBS 2.2 geometry.json'dan alınır</t>
  </si>
  <si>
    <t xml:space="preserve">Eşit açı bölümleme</t>
  </si>
  <si>
    <t xml:space="preserve">WBS 2.2 geometry.json
WBS 2.4 vsp_build</t>
  </si>
  <si>
    <t xml:space="preserve">motor_positions_m[n×3]</t>
  </si>
  <si>
    <t xml:space="preserve">OpenVSP NASA
NDARC §5</t>
  </si>
  <si>
    <t xml:space="preserve">3.2</t>
  </si>
  <si>
    <t xml:space="preserve">arm_length_m</t>
  </si>
  <si>
    <t xml:space="preserve">Kol boyu = wheelbase / (2 × sin(π/n) × kol_faktörü)
X dizilim: arm = WB/2
H dizilim: ön/arka kol farklı</t>
  </si>
  <si>
    <t xml:space="preserve">Float &gt; 0</t>
  </si>
  <si>
    <t xml:space="preserve">WBS 2.2 geometry.json'dan alınır
Kol boyu strüktürel analize (WBS 6.1) girdi</t>
  </si>
  <si>
    <t xml:space="preserve">WBS 2.2 geometry.json</t>
  </si>
  <si>
    <t xml:space="preserve">arm_length_m (float)</t>
  </si>
  <si>
    <t xml:space="preserve">NDARC | Raymer §17</t>
  </si>
  <si>
    <t xml:space="preserve">ADIM 4: DÖNÜŞ YÖN ATAMASI (CW/CCW rotation_dirs[])</t>
  </si>
  <si>
    <t xml:space="preserve">4.1</t>
  </si>
  <si>
    <t xml:space="preserve">rotation_dirs[]</t>
  </si>
  <si>
    <t xml:space="preserve">Her motor için dönüş yönü: CW veya CCW
Kural: Σ(CW torques) = Σ(CCW torques) @ hover
Quad-X: CW=[1,3] CCW=[2,4] (köşegen çiftler)
Hex-X: CW=[1,3,5] CCW=[2,4,6] (alternating)
Octo-X8: CW=[1,3,5,7] CCW=[2,4,6,8]
Y6: üst-CW/alt-CCW her kol çifti</t>
  </si>
  <si>
    <t xml:space="preserve">List[str] 'CW'|'CCW'</t>
  </si>
  <si>
    <t xml:space="preserve">Yaw dengesi: |Σ(sign_i × Q_i)| ≤ 0.01 N·m
WBS 2.3 yaw_balance.py ile doğrulanır
Coaxial: alt rotor ters yön zorunlu</t>
  </si>
  <si>
    <t xml:space="preserve">Alternating CW/CCW</t>
  </si>
  <si>
    <t xml:space="preserve">Prouty §4
Mahony 2012</t>
  </si>
  <si>
    <t xml:space="preserve">rotation_dirs[] (list)</t>
  </si>
  <si>
    <t xml:space="preserve">Mahony 2012
PX4 Mixer Docs</t>
  </si>
  <si>
    <t xml:space="preserve">4.2</t>
  </si>
  <si>
    <t xml:space="preserve">yaw_balance_flag</t>
  </si>
  <si>
    <t xml:space="preserve">Yaw torque imbalance hesaplandı mı?
Q_yaw = |Σ(sign_i × Q_i)| [N·m]
Kabul: Q_yaw ≤ 0.01 N·m @ hover</t>
  </si>
  <si>
    <t xml:space="preserve">N·m</t>
  </si>
  <si>
    <t xml:space="preserve">Float ≥ 0</t>
  </si>
  <si>
    <t xml:space="preserve">Q_imbalance &gt; 0.01 → rotation_dirs[] revize
WBS 2.3'e geçmeden önce sağlanmalı</t>
  </si>
  <si>
    <t xml:space="preserve">False (doğrulama bekleniyor)</t>
  </si>
  <si>
    <t xml:space="preserve">WBS 2.3 yaw_balance.py</t>
  </si>
  <si>
    <t xml:space="preserve">yaw_balanced_flag (bool)</t>
  </si>
  <si>
    <t xml:space="preserve">Prouty §4
KK-13: Yaw ≤ 0.01 N·m</t>
  </si>
  <si>
    <t xml:space="preserve">ADIM 5: OEI DOĞRULAMA &amp; KABUL KRİTERLERİ</t>
  </si>
  <si>
    <t xml:space="preserve">5.1</t>
  </si>
  <si>
    <t xml:space="preserve">OEI_T_remaining_N</t>
  </si>
  <si>
    <t xml:space="preserve">1 motor arızasında kalan itki:
T_remain = (n-1)/n × T_total_N × karşı_motor_kısıtı
T_remain ≥ MTOW × g × 1.2 (güvenli iniş marjı)</t>
  </si>
  <si>
    <t xml:space="preserve">N</t>
  </si>
  <si>
    <t xml:space="preserve">OEI=N+1 → n≥6 zorunlu (4'te OEI imkansız)
Coaxial OEI: 1 kol kaybında FM düşer</t>
  </si>
  <si>
    <t xml:space="preserve">requirements.json
WBS 3.9 thrust_chain</t>
  </si>
  <si>
    <t xml:space="preserve">OEI_T_remaining_N (float)</t>
  </si>
  <si>
    <t xml:space="preserve">5.2</t>
  </si>
  <si>
    <t xml:space="preserve">T_W_OEI_ratio</t>
  </si>
  <si>
    <t xml:space="preserve">T/W @ OEI = T_remain / (MTOW × g)
Minimum: T/W_OEI ≥ 1.0 (kontrollü iniş)
Tercih: T/W_OEI ≥ 1.2 (manevra marjı)</t>
  </si>
  <si>
    <t xml:space="preserve">Float ≥ 1.0</t>
  </si>
  <si>
    <t xml:space="preserve">T/W_OEI &lt; 1.0 → konfigürasyon reddedilir
T/W_OEI ≥ 1.0 → kontrollü iniş mümkün</t>
  </si>
  <si>
    <t xml:space="preserve">1.0 (minimum)</t>
  </si>
  <si>
    <t xml:space="preserve">requirements.json
WBS 1.2 T/W ≥ 2.0 (normal)</t>
  </si>
  <si>
    <t xml:space="preserve">T_W_OEI (float)</t>
  </si>
  <si>
    <t xml:space="preserve">EASA SC-VTOL §2530
MIL-HDBK-516C §15</t>
  </si>
  <si>
    <t xml:space="preserve">5.3</t>
  </si>
  <si>
    <t xml:space="preserve">redundancy_check</t>
  </si>
  <si>
    <t xml:space="preserve">Son kontrol: seçilen n ile OEI gereksinimi karşılanıyor mu?
OEI=N → n≥4 ✓ | OEI=N+1 → n≥6 ✓
OEI=N+2 → n≥8 ✓ | OEI=N+3 → n≥12 ✓</t>
  </si>
  <si>
    <t xml:space="preserve">False → n_rotors artır ve tekrar çalıştır
True → config.json oluştur</t>
  </si>
  <si>
    <t xml:space="preserve">WBS 1.2 requirements
WBS 1.3 regulation</t>
  </si>
  <si>
    <t xml:space="preserve">redundancy_OK (bool)</t>
  </si>
  <si>
    <t xml:space="preserve">JARUS SORA v2.5
EASA SC-VTOL §2530</t>
  </si>
  <si>
    <t xml:space="preserve">WBS 2.1 — 14 KONFİGÜRASYON TİPİ | Geometri, OEI, SAIL &amp; Uygulama Kataloğu</t>
  </si>
  <si>
    <t xml:space="preserve">ID</t>
  </si>
  <si>
    <t xml:space="preserve">Konfigürasyon Adı</t>
  </si>
  <si>
    <t xml:space="preserve">N
Rotor</t>
  </si>
  <si>
    <t xml:space="preserve">Kol
Sayısı</t>
  </si>
  <si>
    <t xml:space="preserve">Layout
Tipi</t>
  </si>
  <si>
    <t xml:space="preserve">Coaxial</t>
  </si>
  <si>
    <t xml:space="preserve">Arm
Katlan.</t>
  </si>
  <si>
    <t xml:space="preserve">OEI
Seviyesi</t>
  </si>
  <si>
    <t xml:space="preserve">SAIL
Maks</t>
  </si>
  <si>
    <t xml:space="preserve">T/W_OEI
Min</t>
  </si>
  <si>
    <t xml:space="preserve">En İyi Uygulama</t>
  </si>
  <si>
    <t xml:space="preserve">Referans Sistem</t>
  </si>
  <si>
    <t xml:space="preserve">C01</t>
  </si>
  <si>
    <t xml:space="preserve">Quadcopter-X (4 rotor flat)</t>
  </si>
  <si>
    <t xml:space="preserve">4</t>
  </si>
  <si>
    <t xml:space="preserve">X-4</t>
  </si>
  <si>
    <t xml:space="preserve">✗ Hayır</t>
  </si>
  <si>
    <t xml:space="preserve">✓ Evet</t>
  </si>
  <si>
    <t xml:space="preserve">N (yok)</t>
  </si>
  <si>
    <t xml:space="preserve">SAIL-II</t>
  </si>
  <si>
    <t xml:space="preserve">Hobi, hafif gözetleme, yarış
Payload &lt; 3 kg</t>
  </si>
  <si>
    <t xml:space="preserve">DJI Mini 4 Pro, Mavic 3 Ent.</t>
  </si>
  <si>
    <t xml:space="preserve">C02</t>
  </si>
  <si>
    <t xml:space="preserve">Quadcopter-+ (4 rotor plus)</t>
  </si>
  <si>
    <t xml:space="preserve">+-4</t>
  </si>
  <si>
    <t xml:space="preserve">Enerji verimliliği, yavaş gözetleme
Öne doğru sürükleme düşük</t>
  </si>
  <si>
    <t xml:space="preserve">Erken DJI Phantom serisi</t>
  </si>
  <si>
    <t xml:space="preserve">C03</t>
  </si>
  <si>
    <t xml:space="preserve">Hexacopter-X (6 rotor flat)</t>
  </si>
  <si>
    <t xml:space="preserve">6</t>
  </si>
  <si>
    <t xml:space="preserve">X-6</t>
  </si>
  <si>
    <t xml:space="preserve">N+1</t>
  </si>
  <si>
    <t xml:space="preserve">SAIL-IV</t>
  </si>
  <si>
    <t xml:space="preserve">≥ 1.0</t>
  </si>
  <si>
    <t xml:space="preserve">Kargo teslimat, gözetleme BVLOS
Payload 2–8 kg</t>
  </si>
  <si>
    <t xml:space="preserve">DJI Matrice 300, Freefly Alta X</t>
  </si>
  <si>
    <t xml:space="preserve">C04</t>
  </si>
  <si>
    <t xml:space="preserve">Hexacopter-H (6 rotor H-frame)</t>
  </si>
  <si>
    <t xml:space="preserve">H-6</t>
  </si>
  <si>
    <t xml:space="preserve">Kamera/lidar görevi (gimbal boşluğu)
Altında temiz görüş</t>
  </si>
  <si>
    <t xml:space="preserve">Freefly Alta Pro, DJI S900</t>
  </si>
  <si>
    <t xml:space="preserve">C05</t>
  </si>
  <si>
    <t xml:space="preserve">Y6 Coaxial Tricopter (6 motor-3 kol)</t>
  </si>
  <si>
    <t xml:space="preserve">3</t>
  </si>
  <si>
    <t xml:space="preserve">Y6-coax</t>
  </si>
  <si>
    <t xml:space="preserve">Koşullu N+1</t>
  </si>
  <si>
    <t xml:space="preserve">SAIL-III</t>
  </si>
  <si>
    <t xml:space="preserve">≥ 1.0 (kısıtlı)</t>
  </si>
  <si>
    <t xml:space="preserve">Dar alan, kapalı mekan
Kompakt wheelbase</t>
  </si>
  <si>
    <t xml:space="preserve">3DR Y6, özel tasarımlar</t>
  </si>
  <si>
    <t xml:space="preserve">C06</t>
  </si>
  <si>
    <t xml:space="preserve">Octocopter-X8 flat (8 rotor flat)</t>
  </si>
  <si>
    <t xml:space="preserve">8</t>
  </si>
  <si>
    <t xml:space="preserve">X-8</t>
  </si>
  <si>
    <t xml:space="preserve">N+2</t>
  </si>
  <si>
    <t xml:space="preserve">SAIL-V</t>
  </si>
  <si>
    <t xml:space="preserve">≥ 1.2</t>
  </si>
  <si>
    <t xml:space="preserve">Ağır kargo, kentsel teslimat
Payload 5–15 kg</t>
  </si>
  <si>
    <t xml:space="preserve">GRIFF 135, Freefly Alta 8
T-Drones M1200</t>
  </si>
  <si>
    <t xml:space="preserve">C07</t>
  </si>
  <si>
    <t xml:space="preserve">Octocopter-X4 Coaxial (4 kol×2 motor)</t>
  </si>
  <si>
    <t xml:space="preserve">X4-coax</t>
  </si>
  <si>
    <t xml:space="preserve">Kompakt yüksek payload
Daha küçük wheelbase</t>
  </si>
  <si>
    <t xml:space="preserve">DJI S1000+, özel endüstriyel</t>
  </si>
  <si>
    <t xml:space="preserve">C08</t>
  </si>
  <si>
    <t xml:space="preserve">Dodecacopter-X12 (12 rotor flat)</t>
  </si>
  <si>
    <t xml:space="preserve">12</t>
  </si>
  <si>
    <t xml:space="preserve">X-12</t>
  </si>
  <si>
    <t xml:space="preserve">N+3</t>
  </si>
  <si>
    <t xml:space="preserve">≥ 1.3</t>
  </si>
  <si>
    <t xml:space="preserve">Ağır endüstriyel yük, sinema
Payload 15–50 kg</t>
  </si>
  <si>
    <t xml:space="preserve">SPH Engineering Spider-120
Özel endüstriyel</t>
  </si>
  <si>
    <t xml:space="preserve">C09</t>
  </si>
  <si>
    <t xml:space="preserve">Coaxial Hexacopter-12 (6 kol×2 motor)</t>
  </si>
  <si>
    <t xml:space="preserve">Hex-coax</t>
  </si>
  <si>
    <t xml:space="preserve">Kompakt yüksek payload, tarım
Payload 12–45 kg</t>
  </si>
  <si>
    <t xml:space="preserve">GRIFF 300 (225 kg payload)
EASA+FAA sertifikalı</t>
  </si>
  <si>
    <t xml:space="preserve">C10</t>
  </si>
  <si>
    <t xml:space="preserve">Hexadecacopter-X16 (16 rotor flat)</t>
  </si>
  <si>
    <t xml:space="preserve">16</t>
  </si>
  <si>
    <t xml:space="preserve">X-16</t>
  </si>
  <si>
    <t xml:space="preserve">N+4</t>
  </si>
  <si>
    <t xml:space="preserve">SAIL-VI</t>
  </si>
  <si>
    <t xml:space="preserve">≥ 1.4</t>
  </si>
  <si>
    <t xml:space="preserve">Lojistik kargo, afet yardım
Payload 25–80 kg</t>
  </si>
  <si>
    <t xml:space="preserve">Volocopter VoloDrone
(200 kg, 18 rotor türevi)</t>
  </si>
  <si>
    <t xml:space="preserve">C11</t>
  </si>
  <si>
    <t xml:space="preserve">DEP-18 Dağıtık Elektrik (18 rotor)</t>
  </si>
  <si>
    <t xml:space="preserve">18</t>
  </si>
  <si>
    <t xml:space="preserve">DEP-ring</t>
  </si>
  <si>
    <t xml:space="preserve">N+6+</t>
  </si>
  <si>
    <t xml:space="preserve">Certified</t>
  </si>
  <si>
    <t xml:space="preserve">≥ 1.5</t>
  </si>
  <si>
    <t xml:space="preserve">Şehir içi eVTOL, hızlı kargo
Payload 40–120 kg</t>
  </si>
  <si>
    <t xml:space="preserve">Joby S4, NASA X-57 Maxwell
Lilium Jet konsept</t>
  </si>
  <si>
    <t xml:space="preserve">C12</t>
  </si>
  <si>
    <t xml:space="preserve">eVTOL Tilt-Prop Hibrit (8 rotor + kanat)</t>
  </si>
  <si>
    <t xml:space="preserve">Tilt-prop</t>
  </si>
  <si>
    <t xml:space="preserve">Uzun menzil kargo + VTOL
Payload 100–400 kg</t>
  </si>
  <si>
    <t xml:space="preserve">Pipistrel Nuuva V300 (300 kg)
Bell Nexus konsept</t>
  </si>
  <si>
    <t xml:space="preserve">C13</t>
  </si>
  <si>
    <t xml:space="preserve">Büyük Coaxial Octocopter (4 çift rotor)</t>
  </si>
  <si>
    <t xml:space="preserve">X4-coax-L</t>
  </si>
  <si>
    <t xml:space="preserve">Ağır endüstriyel kargo
Payload 150–600 kg</t>
  </si>
  <si>
    <t xml:space="preserve">GRIFF 300 büyük versiyonu
Boeing CAV konsept</t>
  </si>
  <si>
    <t xml:space="preserve">C14</t>
  </si>
  <si>
    <t xml:space="preserve">DEP-32 Modüler eVTOL (32+ rotor)</t>
  </si>
  <si>
    <t xml:space="preserve">32</t>
  </si>
  <si>
    <t xml:space="preserve">DEP-matrix</t>
  </si>
  <si>
    <t xml:space="preserve">N+8+</t>
  </si>
  <si>
    <t xml:space="preserve">≥ 1.6</t>
  </si>
  <si>
    <t xml:space="preserve">Ağır kargo terminali
Payload 600–2000 kg</t>
  </si>
  <si>
    <t xml:space="preserve">Volocopter VoloFreighter
Wisk Aero büyük ölçek</t>
  </si>
  <si>
    <t xml:space="preserve">RENK KODU — Payload Sınıfı:</t>
  </si>
  <si>
    <t xml:space="preserve">  Sınıf 1: 0–3 kg</t>
  </si>
  <si>
    <t xml:space="preserve">  Sınıf 2: 2–8 kg</t>
  </si>
  <si>
    <t xml:space="preserve">  Sınıf 3: 5–50 kg</t>
  </si>
  <si>
    <t xml:space="preserve">  Sınıf 4: 25–120 kg</t>
  </si>
  <si>
    <t xml:space="preserve">  Sınıf 5+: 100–2000 kg</t>
  </si>
  <si>
    <t xml:space="preserve">WBS 2.1 — DÖNÜŞ YÖN ATAMALARI (rotation_dirs[]) | Yaw Torque Dengesi</t>
  </si>
  <si>
    <t xml:space="preserve">Kural:</t>
  </si>
  <si>
    <t xml:space="preserve">Σ(Q_CW) = Σ(Q_CCW) @ hover  →  |Q_yaw_imbalance| ≤ 0.01 N·m  →  Yaw kontrolü sağlanır.</t>
  </si>
  <si>
    <t xml:space="preserve">C01/C02 — Quadcopter-X veya + (n=4)</t>
  </si>
  <si>
    <t xml:space="preserve">Motor ID</t>
  </si>
  <si>
    <t xml:space="preserve">M1</t>
  </si>
  <si>
    <t xml:space="preserve">M2</t>
  </si>
  <si>
    <t xml:space="preserve">M3</t>
  </si>
  <si>
    <t xml:space="preserve">M4</t>
  </si>
  <si>
    <t xml:space="preserve">Konum</t>
  </si>
  <si>
    <t xml:space="preserve">Ön-Sağ</t>
  </si>
  <si>
    <t xml:space="preserve">Arka-Sol</t>
  </si>
  <si>
    <t xml:space="preserve">Ön-Sol</t>
  </si>
  <si>
    <t xml:space="preserve">Arka-Sağ</t>
  </si>
  <si>
    <t xml:space="preserve">Dönüş
Yönü</t>
  </si>
  <si>
    <t xml:space="preserve">CW</t>
  </si>
  <si>
    <t xml:space="preserve">CCW</t>
  </si>
  <si>
    <t xml:space="preserve">Not:</t>
  </si>
  <si>
    <t xml:space="preserve">X dizilim: köşegen çiftler aynı yön
+ dizilim: komşu motorlar zıt yön</t>
  </si>
  <si>
    <t xml:space="preserve">C03/C04 — Hexacopter-X veya H (n=6)</t>
  </si>
  <si>
    <t xml:space="preserve">M5</t>
  </si>
  <si>
    <t xml:space="preserve">M6</t>
  </si>
  <si>
    <t xml:space="preserve">Ön</t>
  </si>
  <si>
    <t xml:space="preserve">Arka</t>
  </si>
  <si>
    <t xml:space="preserve">Alternating CW/CCW sırasıyla
Her komşu çift zıt yön</t>
  </si>
  <si>
    <t xml:space="preserve">C06/C07 — Octocopter-X8 flat (n=8)</t>
  </si>
  <si>
    <t xml:space="preserve">M7</t>
  </si>
  <si>
    <t xml:space="preserve">M8</t>
  </si>
  <si>
    <t xml:space="preserve">Sağ</t>
  </si>
  <si>
    <t xml:space="preserve">Sol</t>
  </si>
  <si>
    <t xml:space="preserve">Alternating CW/CCW
4 CW + 4 CCW → mükemmel denge</t>
  </si>
  <si>
    <t xml:space="preserve">C05 — Y6 Coaxial Tricopter (n=6, 3 kol)</t>
  </si>
  <si>
    <t xml:space="preserve">M1-üst</t>
  </si>
  <si>
    <t xml:space="preserve">M1-alt</t>
  </si>
  <si>
    <t xml:space="preserve">M2-üst</t>
  </si>
  <si>
    <t xml:space="preserve">M2-alt</t>
  </si>
  <si>
    <t xml:space="preserve">M3-üst</t>
  </si>
  <si>
    <t xml:space="preserve">M3-alt</t>
  </si>
  <si>
    <t xml:space="preserve">Ön-üst</t>
  </si>
  <si>
    <t xml:space="preserve">Ön-alt</t>
  </si>
  <si>
    <t xml:space="preserve">Sağ-Arka-üst</t>
  </si>
  <si>
    <t xml:space="preserve">Sağ-Arka-alt</t>
  </si>
  <si>
    <t xml:space="preserve">Sol-Arka-üst</t>
  </si>
  <si>
    <t xml:space="preserve">Sol-Arka-alt</t>
  </si>
  <si>
    <t xml:space="preserve">Coaxial: üst CCW / alt CW
Her kol çiftinde yaw dengesi</t>
  </si>
  <si>
    <t xml:space="preserve">C08 — Dodecacopter-X12 flat (n=12)</t>
  </si>
  <si>
    <t xml:space="preserve">M9</t>
  </si>
  <si>
    <t xml:space="preserve">M10</t>
  </si>
  <si>
    <t xml:space="preserve">M11</t>
  </si>
  <si>
    <t xml:space="preserve">M12</t>
  </si>
  <si>
    <t xml:space="preserve">30°</t>
  </si>
  <si>
    <t xml:space="preserve">60°</t>
  </si>
  <si>
    <t xml:space="preserve">90°</t>
  </si>
  <si>
    <t xml:space="preserve">120°</t>
  </si>
  <si>
    <t xml:space="preserve">150°</t>
  </si>
  <si>
    <t xml:space="preserve">180°</t>
  </si>
  <si>
    <t xml:space="preserve">210°</t>
  </si>
  <si>
    <t xml:space="preserve">240°</t>
  </si>
  <si>
    <t xml:space="preserve">270°</t>
  </si>
  <si>
    <t xml:space="preserve">300°</t>
  </si>
  <si>
    <t xml:space="preserve">330°</t>
  </si>
  <si>
    <t xml:space="preserve">360°</t>
  </si>
  <si>
    <t xml:space="preserve">Alternating CW/CCW, açı bazlı
6 CW + 6 CCW → mükemmel denge</t>
  </si>
  <si>
    <t xml:space="preserve">C09 — Coaxial Hex-12 (6 kol × 2 motor)</t>
  </si>
  <si>
    <t xml:space="preserve">K1-üst</t>
  </si>
  <si>
    <t xml:space="preserve">K1-alt</t>
  </si>
  <si>
    <t xml:space="preserve">K2-üst</t>
  </si>
  <si>
    <t xml:space="preserve">K2-alt</t>
  </si>
  <si>
    <t xml:space="preserve">K3-üst</t>
  </si>
  <si>
    <t xml:space="preserve">K3-alt</t>
  </si>
  <si>
    <t xml:space="preserve">K4-üst</t>
  </si>
  <si>
    <t xml:space="preserve">K4-alt</t>
  </si>
  <si>
    <t xml:space="preserve">K5-üst</t>
  </si>
  <si>
    <t xml:space="preserve">K5-alt</t>
  </si>
  <si>
    <t xml:space="preserve">K6-üst</t>
  </si>
  <si>
    <t xml:space="preserve">K6-alt</t>
  </si>
  <si>
    <t xml:space="preserve">60°-T</t>
  </si>
  <si>
    <t xml:space="preserve">60°-B</t>
  </si>
  <si>
    <t xml:space="preserve">120°-T</t>
  </si>
  <si>
    <t xml:space="preserve">120°-B</t>
  </si>
  <si>
    <t xml:space="preserve">180°-T</t>
  </si>
  <si>
    <t xml:space="preserve">180°-B</t>
  </si>
  <si>
    <t xml:space="preserve">240°-T</t>
  </si>
  <si>
    <t xml:space="preserve">240°-B</t>
  </si>
  <si>
    <t xml:space="preserve">300°-T</t>
  </si>
  <si>
    <t xml:space="preserve">300°-B</t>
  </si>
  <si>
    <t xml:space="preserve">360°-T</t>
  </si>
  <si>
    <t xml:space="preserve">360°-B</t>
  </si>
  <si>
    <t xml:space="preserve">Her kol: üst CCW / alt CW
6 kol × 2 motor = 12 motor
6 CCW + 6 CW = Yaw dengeli</t>
  </si>
  <si>
    <t xml:space="preserve">WBS 2.1 — OEI (ONE ENGINE INOPERATIVE) REDUNDANCY ANALİZİ | EASA SC-VTOL §2530</t>
  </si>
  <si>
    <t xml:space="preserve">Konfig.</t>
  </si>
  <si>
    <t xml:space="preserve">Arıza
Motor</t>
  </si>
  <si>
    <t xml:space="preserve">T/W
@hover</t>
  </si>
  <si>
    <t xml:space="preserve">T Kayıp
%</t>
  </si>
  <si>
    <t xml:space="preserve">T/W
@OEI</t>
  </si>
  <si>
    <t xml:space="preserve">OEI
Kabul?</t>
  </si>
  <si>
    <t xml:space="preserve">Kontrol
Otoritesi</t>
  </si>
  <si>
    <t xml:space="preserve">SAIL
Limit</t>
  </si>
  <si>
    <t xml:space="preserve">Quad-X</t>
  </si>
  <si>
    <t xml:space="preserve">1</t>
  </si>
  <si>
    <t xml:space="preserve">2.0</t>
  </si>
  <si>
    <t xml:space="preserve">25.0%</t>
  </si>
  <si>
    <t xml:space="preserve">Çok Düşük</t>
  </si>
  <si>
    <t xml:space="preserve">Quad-+</t>
  </si>
  <si>
    <t xml:space="preserve">Hex-X</t>
  </si>
  <si>
    <t xml:space="preserve">16.7%</t>
  </si>
  <si>
    <t xml:space="preserve">Yeterli</t>
  </si>
  <si>
    <t xml:space="preserve">Hex-H</t>
  </si>
  <si>
    <t xml:space="preserve">2</t>
  </si>
  <si>
    <t xml:space="preserve">33.3%
(1 kol)</t>
  </si>
  <si>
    <t xml:space="preserve">✓ Kısıtlı</t>
  </si>
  <si>
    <t xml:space="preserve">Düşük</t>
  </si>
  <si>
    <t xml:space="preserve">Octo-X8</t>
  </si>
  <si>
    <t xml:space="preserve">İyi</t>
  </si>
  <si>
    <t xml:space="preserve">25.0%
(1 kol)</t>
  </si>
  <si>
    <t xml:space="preserve">Çok İyi</t>
  </si>
  <si>
    <t xml:space="preserve">16.7%
(1 kol)</t>
  </si>
  <si>
    <t xml:space="preserve">Mükemmel</t>
  </si>
  <si>
    <t xml:space="preserve">DEP-18</t>
  </si>
  <si>
    <t xml:space="preserve">33.3%</t>
  </si>
  <si>
    <t xml:space="preserve">DEP-32</t>
  </si>
  <si>
    <t xml:space="preserve">OEI Formülleri:</t>
  </si>
  <si>
    <t xml:space="preserve">T_remain = (n - n_failed) / n × T_total</t>
  </si>
  <si>
    <t xml:space="preserve">T/W_OEI = T_remain / (MTOW × g)</t>
  </si>
  <si>
    <t xml:space="preserve">T_kayıp% = n_failed / n × 100</t>
  </si>
  <si>
    <t xml:space="preserve">Kabul kriteri: T/W_OEI ≥ 1.0 (minimum kontrollü iniş)</t>
  </si>
  <si>
    <t xml:space="preserve">Tercih: T/W_OEI ≥ 1.2 (manevra marjı korunur)</t>
  </si>
  <si>
    <t xml:space="preserve">Y6 ve Coaxial: 1 kol kaybı = 2 motor kaybı (%33 T_kayıp)</t>
  </si>
  <si>
    <t xml:space="preserve">WBS 2.1 — config_select.py | Pydantic ConfigResult v2 | rotation_dirs[] ataması dahil</t>
  </si>
  <si>
    <t xml:space="preserve"># config_select.py — WBS 2.1 | Rotor Sayısı &amp; Dizilim Seçimi</t>
  </si>
  <si>
    <t xml:space="preserve"># Girdi: tradeoff.json + requirements.json + regulation.json</t>
  </si>
  <si>
    <t xml:space="preserve"># Çıktı: config.json (Pydantic ConfigResult ile doğrulanmış)</t>
  </si>
  <si>
    <t xml:space="preserve">5</t>
  </si>
  <si>
    <t xml:space="preserve">import json, math</t>
  </si>
  <si>
    <t xml:space="preserve">from pydantic import BaseModel, Field, validator</t>
  </si>
  <si>
    <t xml:space="preserve">7</t>
  </si>
  <si>
    <t xml:space="preserve">from typing import List, Literal</t>
  </si>
  <si>
    <t xml:space="preserve">9</t>
  </si>
  <si>
    <t xml:space="preserve"># ── GİRDİLER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</si>
  <si>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</si>
  <si>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tradeoff = json.load(open('tradeoff.json'))</t>
  </si>
  <si>
    <t xml:space="preserve">11</t>
  </si>
  <si>
    <t xml:space="preserve">reqs     = json.load(open('requirements.json'))</t>
  </si>
  <si>
    <t xml:space="preserve">reg      = json.load(open('regulation.json'))</t>
  </si>
  <si>
    <t xml:space="preserve">13</t>
  </si>
  <si>
    <t xml:space="preserve">14</t>
  </si>
  <si>
    <t xml:space="preserve">payload_kg   = reqs['payload_mass_kg']</t>
  </si>
  <si>
    <t xml:space="preserve">15</t>
  </si>
  <si>
    <t xml:space="preserve">MTOW_kg      = reqs['MTOW_kg']</t>
  </si>
  <si>
    <t xml:space="preserve">BVLOS        = reqs.get('BVLOS_planned', False)</t>
  </si>
  <si>
    <t xml:space="preserve">17</t>
  </si>
  <si>
    <t xml:space="preserve">SAIL_str     = reg.get('SAIL_level', 'I')</t>
  </si>
  <si>
    <t xml:space="preserve">SAIL_NUM     = {'I':1,'II':2,'III':3,'IV':4,'V':5,'VI':6}</t>
  </si>
  <si>
    <t xml:space="preserve">19</t>
  </si>
  <si>
    <t xml:space="preserve">sail_req     = SAIL_NUM.get(SAIL_str, 1)</t>
  </si>
  <si>
    <t xml:space="preserve">20</t>
  </si>
  <si>
    <t xml:space="preserve">n_trade      = tradeoff['n_rotors']          # WBS 1.5 önerisi</t>
  </si>
  <si>
    <t xml:space="preserve">21</t>
  </si>
  <si>
    <t xml:space="preserve">coax_trade   = tradeoff.get('coaxial_flag', False)</t>
  </si>
  <si>
    <t xml:space="preserve">22</t>
  </si>
  <si>
    <t xml:space="preserve">drive_type   = tradeoff.get('drive_type', 'electric')</t>
  </si>
  <si>
    <t xml:space="preserve">23</t>
  </si>
  <si>
    <t xml:space="preserve">24</t>
  </si>
  <si>
    <t xml:space="preserve"># ── ADIM 1: PAYLOAD → N_MIN ───────────────────────────────────────────────</t>
  </si>
  <si>
    <t xml:space="preserve">25</t>
  </si>
  <si>
    <t xml:space="preserve">def n_min_from_payload(p_kg):</t>
  </si>
  <si>
    <t xml:space="preserve">26</t>
  </si>
  <si>
    <t xml:space="preserve">    if p_kg &lt;= 3:   return 4   # Quad</t>
  </si>
  <si>
    <t xml:space="preserve">27</t>
  </si>
  <si>
    <t xml:space="preserve">    if p_kg &lt;= 15:  return 6   # Hex</t>
  </si>
  <si>
    <t xml:space="preserve">28</t>
  </si>
  <si>
    <t xml:space="preserve">    if p_kg &lt;= 50:  return 8   # Octo</t>
  </si>
  <si>
    <t xml:space="preserve">29</t>
  </si>
  <si>
    <t xml:space="preserve">    if p_kg &lt;= 150: return 12  # Dodeca</t>
  </si>
  <si>
    <t xml:space="preserve">30</t>
  </si>
  <si>
    <t xml:space="preserve">    return 16                  # Hexadeca+</t>
  </si>
  <si>
    <t xml:space="preserve">31</t>
  </si>
  <si>
    <t xml:space="preserve"># ── ADIM 2: OEI → N_MIN ───────────────────────────────────────────────────</t>
  </si>
  <si>
    <t xml:space="preserve">33</t>
  </si>
  <si>
    <t xml:space="preserve">def n_min_from_OEI(sail_level, bvlos):</t>
  </si>
  <si>
    <t xml:space="preserve">34</t>
  </si>
  <si>
    <t xml:space="preserve">    if bvlos or sail_level &gt;= 3:  return 6   # N+1 minimum</t>
  </si>
  <si>
    <t xml:space="preserve">35</t>
  </si>
  <si>
    <t xml:space="preserve">    if sail_level &gt;= 5:           return 8   # N+2</t>
  </si>
  <si>
    <t xml:space="preserve">36</t>
  </si>
  <si>
    <t xml:space="preserve">    return 4                                  # N (SAIL I-II)</t>
  </si>
  <si>
    <t xml:space="preserve">37</t>
  </si>
  <si>
    <t xml:space="preserve">38</t>
  </si>
  <si>
    <t xml:space="preserve"># ── ADIM 3: FİNAL N HESABI ────────────────────────────────────────────────</t>
  </si>
  <si>
    <t xml:space="preserve">39</t>
  </si>
  <si>
    <t xml:space="preserve">n_payload = n_min_from_payload(payload_kg)</t>
  </si>
  <si>
    <t xml:space="preserve">40</t>
  </si>
  <si>
    <t xml:space="preserve">n_oei     = n_min_from_OEI(sail_req, BVLOS)</t>
  </si>
  <si>
    <t xml:space="preserve">41</t>
  </si>
  <si>
    <t xml:space="preserve">n_rotors  = max(n_trade, n_payload, n_oei)</t>
  </si>
  <si>
    <t xml:space="preserve">42</t>
  </si>
  <si>
    <t xml:space="preserve">43</t>
  </si>
  <si>
    <t xml:space="preserve"># n_rotors geçerli değerlere yuvarla: {4,6,8,12,16,18,24,32}</t>
  </si>
  <si>
    <t xml:space="preserve">44</t>
  </si>
  <si>
    <t xml:space="preserve">VALID_N = [4, 6, 8, 12, 16, 18, 24, 32]</t>
  </si>
  <si>
    <t xml:space="preserve">45</t>
  </si>
  <si>
    <t xml:space="preserve">n_rotors = min(v for v in VALID_N if v &gt;= n_rotors)</t>
  </si>
  <si>
    <t xml:space="preserve">46</t>
  </si>
  <si>
    <t xml:space="preserve">47</t>
  </si>
  <si>
    <t xml:space="preserve"># ── ADIM 4: LAYOUT SEÇİMİ ─────────────────────────────────────────────────</t>
  </si>
  <si>
    <t xml:space="preserve">48</t>
  </si>
  <si>
    <t xml:space="preserve">mission_type = reqs.get('mission_type', 'cargo')</t>
  </si>
  <si>
    <t xml:space="preserve">49</t>
  </si>
  <si>
    <t xml:space="preserve">50</t>
  </si>
  <si>
    <t xml:space="preserve">def select_layout(n, coax, mission):</t>
  </si>
  <si>
    <t xml:space="preserve">51</t>
  </si>
  <si>
    <t xml:space="preserve">    layout_map = {</t>
  </si>
  <si>
    <t xml:space="preserve">52</t>
  </si>
  <si>
    <t xml:space="preserve">        (4,  False): 'X-4' if mission != 'photography' else '+-4',</t>
  </si>
  <si>
    <t xml:space="preserve">53</t>
  </si>
  <si>
    <t xml:space="preserve">        (6,  False): 'H-6' if mission in ['photography','lidar'] else 'X-6',</t>
  </si>
  <si>
    <t xml:space="preserve">54</t>
  </si>
  <si>
    <t xml:space="preserve">        (6,  True):  'Y6-coax',</t>
  </si>
  <si>
    <t xml:space="preserve">55</t>
  </si>
  <si>
    <t xml:space="preserve">        (8,  False): 'X-8',</t>
  </si>
  <si>
    <t xml:space="preserve">56</t>
  </si>
  <si>
    <t xml:space="preserve">        (8,  True):  'X4-coax',</t>
  </si>
  <si>
    <t xml:space="preserve">57</t>
  </si>
  <si>
    <t xml:space="preserve">        (12, False): 'X-12',</t>
  </si>
  <si>
    <t xml:space="preserve">58</t>
  </si>
  <si>
    <t xml:space="preserve">        (12, True):  'Hex-coax',</t>
  </si>
  <si>
    <t xml:space="preserve">59</t>
  </si>
  <si>
    <t xml:space="preserve">        (16, False): 'X-16',</t>
  </si>
  <si>
    <t xml:space="preserve">60</t>
  </si>
  <si>
    <t xml:space="preserve">        (18, False): 'DEP-ring',</t>
  </si>
  <si>
    <t xml:space="preserve">61</t>
  </si>
  <si>
    <t xml:space="preserve">        (24, False): 'DEP-ring-24',</t>
  </si>
  <si>
    <t xml:space="preserve">62</t>
  </si>
  <si>
    <t xml:space="preserve">        (32, False): 'DEP-matrix',</t>
  </si>
  <si>
    <t xml:space="preserve">63</t>
  </si>
  <si>
    <t xml:space="preserve">    }</t>
  </si>
  <si>
    <t xml:space="preserve">64</t>
  </si>
  <si>
    <t xml:space="preserve">    return layout_map.get((n, coax), f'X-{n}')</t>
  </si>
  <si>
    <t xml:space="preserve">65</t>
  </si>
  <si>
    <t xml:space="preserve">66</t>
  </si>
  <si>
    <t xml:space="preserve">layout = select_layout(n_rotors, coax_trade, mission_type)</t>
  </si>
  <si>
    <t xml:space="preserve">67</t>
  </si>
  <si>
    <t xml:space="preserve">68</t>
  </si>
  <si>
    <t xml:space="preserve"># ── ADIM 5: DÖNÜŞ YÖN ATAMALARI ──────────────────────────────────────────</t>
  </si>
  <si>
    <t xml:space="preserve">69</t>
  </si>
  <si>
    <t xml:space="preserve">def assign_rotation_dirs(n, coax):</t>
  </si>
  <si>
    <t xml:space="preserve">70</t>
  </si>
  <si>
    <t xml:space="preserve">    """CW/CCW atama: yaw torque dengesi için alternating pattern"""</t>
  </si>
  <si>
    <t xml:space="preserve">71</t>
  </si>
  <si>
    <t xml:space="preserve">    if coax:</t>
  </si>
  <si>
    <t xml:space="preserve">72</t>
  </si>
  <si>
    <t xml:space="preserve">        # Coaxial: her kol çiftinde üst=CCW, alt=CW</t>
  </si>
  <si>
    <t xml:space="preserve">73</t>
  </si>
  <si>
    <t xml:space="preserve">        n_arms = n // 2</t>
  </si>
  <si>
    <t xml:space="preserve">74</t>
  </si>
  <si>
    <t xml:space="preserve">        dirs = []</t>
  </si>
  <si>
    <t xml:space="preserve">75</t>
  </si>
  <si>
    <t xml:space="preserve">        for _ in range(n_arms):</t>
  </si>
  <si>
    <t xml:space="preserve">76</t>
  </si>
  <si>
    <t xml:space="preserve">            dirs += ['CCW', 'CW']  # üst, alt</t>
  </si>
  <si>
    <t xml:space="preserve">77</t>
  </si>
  <si>
    <t xml:space="preserve">        return dirs</t>
  </si>
  <si>
    <t xml:space="preserve">78</t>
  </si>
  <si>
    <t xml:space="preserve">    else:</t>
  </si>
  <si>
    <t xml:space="preserve">79</t>
  </si>
  <si>
    <t xml:space="preserve">        # Flat: alternating CW/CCW (1,2,3,...)</t>
  </si>
  <si>
    <t xml:space="preserve">80</t>
  </si>
  <si>
    <t xml:space="preserve">        return ['CW' if i % 2 == 1 else 'CCW' for i in range(1, n+1)]</t>
  </si>
  <si>
    <t xml:space="preserve">81</t>
  </si>
  <si>
    <t xml:space="preserve">82</t>
  </si>
  <si>
    <t xml:space="preserve">rotation_dirs = assign_rotation_dirs(n_rotors, coax_trade)</t>
  </si>
  <si>
    <t xml:space="preserve">83</t>
  </si>
  <si>
    <t xml:space="preserve">84</t>
  </si>
  <si>
    <t xml:space="preserve"># ── ADIM 6: MOTOR KONUMLARI ───────────────────────────────────────────────</t>
  </si>
  <si>
    <t xml:space="preserve">85</t>
  </si>
  <si>
    <t xml:space="preserve">def compute_motor_positions(n, arm_r_m, coax):</t>
  </si>
  <si>
    <t xml:space="preserve">86</t>
  </si>
  <si>
    <t xml:space="preserve">    """Motor konumları [x,y,z] cinsinden, kütle merkezine göre"""</t>
  </si>
  <si>
    <t xml:space="preserve">87</t>
  </si>
  <si>
    <t xml:space="preserve">    positions = []</t>
  </si>
  <si>
    <t xml:space="preserve">88</t>
  </si>
  <si>
    <t xml:space="preserve">89</t>
  </si>
  <si>
    <t xml:space="preserve">90</t>
  </si>
  <si>
    <t xml:space="preserve">        z_upper, z_lower = 0.05, -0.05  # [m] coaxial dikey ayrım</t>
  </si>
  <si>
    <t xml:space="preserve">91</t>
  </si>
  <si>
    <t xml:space="preserve">        for i in range(n_arms):</t>
  </si>
  <si>
    <t xml:space="preserve">92</t>
  </si>
  <si>
    <t xml:space="preserve">            phi = math.radians(i * 360.0 / n_arms)</t>
  </si>
  <si>
    <t xml:space="preserve">93</t>
  </si>
  <si>
    <t xml:space="preserve">            x = arm_r_m * math.cos(phi)</t>
  </si>
  <si>
    <t xml:space="preserve">94</t>
  </si>
  <si>
    <t xml:space="preserve">            y = arm_r_m * math.sin(phi)</t>
  </si>
  <si>
    <t xml:space="preserve">95</t>
  </si>
  <si>
    <t xml:space="preserve">            positions.append([round(x,4), round(y,4), z_upper])  # üst</t>
  </si>
  <si>
    <t xml:space="preserve">96</t>
  </si>
  <si>
    <t xml:space="preserve">            positions.append([round(x,4), round(y,4), z_lower])  # alt</t>
  </si>
  <si>
    <t xml:space="preserve">97</t>
  </si>
  <si>
    <t xml:space="preserve">98</t>
  </si>
  <si>
    <t xml:space="preserve">        for i in range(n):</t>
  </si>
  <si>
    <t xml:space="preserve">99</t>
  </si>
  <si>
    <t xml:space="preserve">            phi = math.radians(i * 360.0 / n)</t>
  </si>
  <si>
    <t xml:space="preserve">100</t>
  </si>
  <si>
    <t xml:space="preserve">            positions.append([round(arm_r_m*math.cos(phi),4),</t>
  </si>
  <si>
    <t xml:space="preserve">101</t>
  </si>
  <si>
    <t xml:space="preserve">                              round(arm_r_m*math.sin(phi),4), 0.0])</t>
  </si>
  <si>
    <t xml:space="preserve">102</t>
  </si>
  <si>
    <t xml:space="preserve">    return positions</t>
  </si>
  <si>
    <t xml:space="preserve">103</t>
  </si>
  <si>
    <t xml:space="preserve">104</t>
  </si>
  <si>
    <t xml:space="preserve">arm_r_m = reqs.get('wheelbase_m', 0.55) / 2.0  # WBS 2.2'den güncellenecek</t>
  </si>
  <si>
    <t xml:space="preserve">105</t>
  </si>
  <si>
    <t xml:space="preserve">motor_positions = compute_motor_positions(n_rotors, arm_r_m, coax_trade)</t>
  </si>
  <si>
    <t xml:space="preserve">106</t>
  </si>
  <si>
    <t xml:space="preserve">107</t>
  </si>
  <si>
    <t xml:space="preserve"># ── ADIM 7: OEI DOĞRULAMA ─────────────────────────────────────────────────</t>
  </si>
  <si>
    <t xml:space="preserve">108</t>
  </si>
  <si>
    <t xml:space="preserve">def check_OEI(n, coax, MTOW_kg, T_total_N=None):</t>
  </si>
  <si>
    <t xml:space="preserve">109</t>
  </si>
  <si>
    <t xml:space="preserve">    if T_total_N is None:</t>
  </si>
  <si>
    <t xml:space="preserve">110</t>
  </si>
  <si>
    <t xml:space="preserve">        T_total_N = MTOW_kg * 9.81 * 2.0  # T/W=2.0 varsayımı</t>
  </si>
  <si>
    <t xml:space="preserve">111</t>
  </si>
  <si>
    <t xml:space="preserve">    n_fail = 2 if coax else 1  # Coaxial'da 1 kol = 2 motor</t>
  </si>
  <si>
    <t xml:space="preserve">112</t>
  </si>
  <si>
    <t xml:space="preserve">    T_remain = (n - n_fail) / n * T_total_N</t>
  </si>
  <si>
    <t xml:space="preserve">113</t>
  </si>
  <si>
    <t xml:space="preserve">    T_W_OEI  = T_remain / (MTOW_kg * 9.81)</t>
  </si>
  <si>
    <t xml:space="preserve">114</t>
  </si>
  <si>
    <t xml:space="preserve">    return T_W_OEI, T_W_OEI &gt;= 1.0</t>
  </si>
  <si>
    <t xml:space="preserve">115</t>
  </si>
  <si>
    <t xml:space="preserve">116</t>
  </si>
  <si>
    <t xml:space="preserve">T_W_OEI, OEI_OK = check_OEI(n_rotors, coax_trade, MTOW_kg)</t>
  </si>
  <si>
    <t xml:space="preserve">117</t>
  </si>
  <si>
    <t xml:space="preserve">118</t>
  </si>
  <si>
    <t xml:space="preserve"># OEI geçemezse → n_rotors artır</t>
  </si>
  <si>
    <t xml:space="preserve">119</t>
  </si>
  <si>
    <t xml:space="preserve">if not OEI_OK:</t>
  </si>
  <si>
    <t xml:space="preserve">120</t>
  </si>
  <si>
    <t xml:space="preserve">    n_rotors = min(v for v in VALID_N if v &gt; n_rotors)</t>
  </si>
  <si>
    <t xml:space="preserve">121</t>
  </si>
  <si>
    <t xml:space="preserve">    rotation_dirs = assign_rotation_dirs(n_rotors, coax_trade)</t>
  </si>
  <si>
    <t xml:space="preserve">122</t>
  </si>
  <si>
    <t xml:space="preserve">    motor_positions = compute_motor_positions(n_rotors, arm_r_m, coax_trade)</t>
  </si>
  <si>
    <t xml:space="preserve">123</t>
  </si>
  <si>
    <t xml:space="preserve">    T_W_OEI, OEI_OK = check_OEI(n_rotors, coax_trade, MTOW_kg)</t>
  </si>
  <si>
    <t xml:space="preserve">124</t>
  </si>
  <si>
    <t xml:space="preserve">125</t>
  </si>
  <si>
    <t xml:space="preserve"># ── ADIM 8: YAW DENGE KONTROLÜ ────────────────────────────────────────────</t>
  </si>
  <si>
    <t xml:space="preserve">126</t>
  </si>
  <si>
    <t xml:space="preserve">n_CW  = rotation_dirs.count('CW')</t>
  </si>
  <si>
    <t xml:space="preserve">127</t>
  </si>
  <si>
    <t xml:space="preserve">n_CCW = rotation_dirs.count('CCW')</t>
  </si>
  <si>
    <t xml:space="preserve">128</t>
  </si>
  <si>
    <t xml:space="preserve">yaw_balanced_flag = (n_CW == n_CCW)</t>
  </si>
  <si>
    <t xml:space="preserve">129</t>
  </si>
  <si>
    <t xml:space="preserve"># Not: Tam torque dengesi WBS 2.3 yaw_balance.py ile doğrulanacak</t>
  </si>
  <si>
    <t xml:space="preserve">130</t>
  </si>
  <si>
    <t xml:space="preserve">131</t>
  </si>
  <si>
    <t xml:space="preserve"># ── ADIM 9: REDUNCANCY SEVİYESİ ──────────────────────────────────────────</t>
  </si>
  <si>
    <t xml:space="preserve">132</t>
  </si>
  <si>
    <t xml:space="preserve">def get_redundancy_level(n, coax):</t>
  </si>
  <si>
    <t xml:space="preserve">133</t>
  </si>
  <si>
    <t xml:space="preserve">    n_fail = 2 if coax else 1</t>
  </si>
  <si>
    <t xml:space="preserve">134</t>
  </si>
  <si>
    <t xml:space="preserve">    return f'N+{n_fail}' if n &gt;= 6 else 'N'</t>
  </si>
  <si>
    <t xml:space="preserve">135</t>
  </si>
  <si>
    <t xml:space="preserve">136</t>
  </si>
  <si>
    <t xml:space="preserve">redundancy = get_redundancy_level(n_rotors, coax_trade)</t>
  </si>
  <si>
    <t xml:space="preserve">137</t>
  </si>
  <si>
    <t xml:space="preserve">arm_fold   = reqs.get('arm_foldable', False)</t>
  </si>
  <si>
    <t xml:space="preserve">138</t>
  </si>
  <si>
    <t xml:space="preserve">139</t>
  </si>
  <si>
    <t xml:space="preserve"># ── ÇIKTI: PYDANTIC DOĞRULAMA ────────────────────────────────────────────</t>
  </si>
  <si>
    <t xml:space="preserve">140</t>
  </si>
  <si>
    <t xml:space="preserve">class ConfigResult(BaseModel):</t>
  </si>
  <si>
    <t xml:space="preserve">141</t>
  </si>
  <si>
    <t xml:space="preserve">    n_rotors:          int            = Field(..., ge=4, le=64)</t>
  </si>
  <si>
    <t xml:space="preserve">142</t>
  </si>
  <si>
    <t xml:space="preserve">    layout:            str</t>
  </si>
  <si>
    <t xml:space="preserve">143</t>
  </si>
  <si>
    <t xml:space="preserve">    coaxial_flag:      bool</t>
  </si>
  <si>
    <t xml:space="preserve">144</t>
  </si>
  <si>
    <t xml:space="preserve">    arm_fold_flag:     bool</t>
  </si>
  <si>
    <t xml:space="preserve">145</t>
  </si>
  <si>
    <t xml:space="preserve">    redundancy:        str</t>
  </si>
  <si>
    <t xml:space="preserve">146</t>
  </si>
  <si>
    <t xml:space="preserve">    rotation_dirs:     List[Literal['CW','CCW']]</t>
  </si>
  <si>
    <t xml:space="preserve">147</t>
  </si>
  <si>
    <t xml:space="preserve">    motor_positions_m: List[List[float]]</t>
  </si>
  <si>
    <t xml:space="preserve">148</t>
  </si>
  <si>
    <t xml:space="preserve">    T_W_OEI:           float          = Field(..., ge=0.0)</t>
  </si>
  <si>
    <t xml:space="preserve">149</t>
  </si>
  <si>
    <t xml:space="preserve">    OEI_OK:            bool</t>
  </si>
  <si>
    <t xml:space="preserve">150</t>
  </si>
  <si>
    <t xml:space="preserve">    yaw_balanced_flag: bool</t>
  </si>
  <si>
    <t xml:space="preserve">151</t>
  </si>
  <si>
    <t xml:space="preserve">    drive_type:        str</t>
  </si>
  <si>
    <t xml:space="preserve">152</t>
  </si>
  <si>
    <t xml:space="preserve">    validation_passed: bool = True</t>
  </si>
  <si>
    <t xml:space="preserve">153</t>
  </si>
  <si>
    <t xml:space="preserve">154</t>
  </si>
  <si>
    <t xml:space="preserve">    @validator('rotation_dirs')</t>
  </si>
  <si>
    <t xml:space="preserve">155</t>
  </si>
  <si>
    <t xml:space="preserve">    def check_yaw_balance(cls, dirs):</t>
  </si>
  <si>
    <t xml:space="preserve">156</t>
  </si>
  <si>
    <t xml:space="preserve">        assert dirs.count('CW') == dirs.count('CCW'), \</t>
  </si>
  <si>
    <t xml:space="preserve">157</t>
  </si>
  <si>
    <t xml:space="preserve">            f'Yaw dengesizliği: {dirs.count("CW")} CW ≠ {dirs.count("CCW")} CCW'</t>
  </si>
  <si>
    <t xml:space="preserve">158</t>
  </si>
  <si>
    <t xml:space="preserve">159</t>
  </si>
  <si>
    <t xml:space="preserve">160</t>
  </si>
  <si>
    <t xml:space="preserve">    @validator('T_W_OEI')</t>
  </si>
  <si>
    <t xml:space="preserve">161</t>
  </si>
  <si>
    <t xml:space="preserve">    def check_oei_ratio(cls, v):</t>
  </si>
  <si>
    <t xml:space="preserve">162</t>
  </si>
  <si>
    <t xml:space="preserve">        if v &lt; 1.0:</t>
  </si>
  <si>
    <t xml:space="preserve">163</t>
  </si>
  <si>
    <t xml:space="preserve">            raise ValueError(f'T/W_OEI = {v:.2f} &lt; 1.0 → OEI reddedildi!')</t>
  </si>
  <si>
    <t xml:space="preserve">164</t>
  </si>
  <si>
    <t xml:space="preserve">        return v</t>
  </si>
  <si>
    <t xml:space="preserve">165</t>
  </si>
  <si>
    <t xml:space="preserve">166</t>
  </si>
  <si>
    <t xml:space="preserve">result = ConfigResult(</t>
  </si>
  <si>
    <t xml:space="preserve">167</t>
  </si>
  <si>
    <t xml:space="preserve">    n_rotors          = n_rotors,</t>
  </si>
  <si>
    <t xml:space="preserve">168</t>
  </si>
  <si>
    <t xml:space="preserve">    layout            = layout,</t>
  </si>
  <si>
    <t xml:space="preserve">169</t>
  </si>
  <si>
    <t xml:space="preserve">    coaxial_flag      = coax_trade,</t>
  </si>
  <si>
    <t xml:space="preserve">170</t>
  </si>
  <si>
    <t xml:space="preserve">    arm_fold_flag     = arm_fold,</t>
  </si>
  <si>
    <t xml:space="preserve">171</t>
  </si>
  <si>
    <t xml:space="preserve">    redundancy        = redundancy,</t>
  </si>
  <si>
    <t xml:space="preserve">172</t>
  </si>
  <si>
    <t xml:space="preserve">    rotation_dirs     = rotation_dirs,</t>
  </si>
  <si>
    <t xml:space="preserve">173</t>
  </si>
  <si>
    <t xml:space="preserve">    motor_positions_m = motor_positions,</t>
  </si>
  <si>
    <t xml:space="preserve">174</t>
  </si>
  <si>
    <t xml:space="preserve">    T_W_OEI           = round(T_W_OEI, 3),</t>
  </si>
  <si>
    <t xml:space="preserve">175</t>
  </si>
  <si>
    <t xml:space="preserve">    OEI_OK            = OEI_OK,</t>
  </si>
  <si>
    <t xml:space="preserve">176</t>
  </si>
  <si>
    <t xml:space="preserve">    yaw_balanced_flag = yaw_balanced_flag,</t>
  </si>
  <si>
    <t xml:space="preserve">177</t>
  </si>
  <si>
    <t xml:space="preserve">    drive_type        = drive_type,</t>
  </si>
  <si>
    <t xml:space="preserve">178</t>
  </si>
  <si>
    <t xml:space="preserve">    validation_passed = True,</t>
  </si>
  <si>
    <t xml:space="preserve">179</t>
  </si>
  <si>
    <t xml:space="preserve">)</t>
  </si>
  <si>
    <t xml:space="preserve">180</t>
  </si>
  <si>
    <t xml:space="preserve">181</t>
  </si>
  <si>
    <t xml:space="preserve">json.dump(result.dict(), open('config.json','w'), ensure_ascii=False, indent=2)</t>
  </si>
  <si>
    <t xml:space="preserve">182</t>
  </si>
  <si>
    <t xml:space="preserve">print(f'✅ config.json hazır: n={n_rotors}, layout={layout}, OEI_OK={OEI_OK}, yaw_bal={yaw_balanced_flag}')</t>
  </si>
  <si>
    <t xml:space="preserve">183</t>
  </si>
  <si>
    <t xml:space="preserve"># → WBS 2.2 geometry_sizing.py'ye girdi</t>
  </si>
  <si>
    <t xml:space="preserve">184</t>
  </si>
  <si>
    <t xml:space="preserve"># → WBS 2.3 yaw_balance.py torque doğrulaması</t>
  </si>
  <si>
    <t xml:space="preserve">185</t>
  </si>
  <si>
    <t xml:space="preserve"># → WBS 7.2 mixing.py motor mixing matrisi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</si>
</sst>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0"/>
      <color rgb="FFFFD166"/>
      <name val="Arial"/>
      <family val="0"/>
      <charset val="1"/>
    </font>
    <font>
      <b val="true"/>
      <sz val="9"/>
      <color rgb="FFF5F5F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DF0"/>
      </patternFill>
    </fill>
    <fill>
      <patternFill patternType="solid">
        <fgColor rgb="FF00A878"/>
        <bgColor rgb="FF00CC88"/>
      </patternFill>
    </fill>
    <fill>
      <patternFill patternType="solid">
        <fgColor rgb="FFFFD166"/>
        <bgColor rgb="FFFFCC00"/>
      </patternFill>
    </fill>
    <fill>
      <patternFill patternType="solid">
        <fgColor rgb="FF06BCC1"/>
        <bgColor rgb="FF00CC88"/>
      </patternFill>
    </fill>
    <fill>
      <patternFill patternType="solid">
        <fgColor rgb="FFE94560"/>
        <bgColor rgb="FFFF4444"/>
      </patternFill>
    </fill>
    <fill>
      <patternFill patternType="solid">
        <fgColor rgb="FF0F3460"/>
        <bgColor rgb="FF16213E"/>
      </patternFill>
    </fill>
    <fill>
      <patternFill patternType="solid">
        <fgColor rgb="FFD5E8F3"/>
        <bgColor rgb="FFEAF2FB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FEF9E7"/>
        <bgColor rgb="FFFFFDF0"/>
      </patternFill>
    </fill>
    <fill>
      <patternFill patternType="solid">
        <fgColor rgb="FFBDC3C7"/>
        <bgColor rgb="FFAAAAAA"/>
      </patternFill>
    </fill>
    <fill>
      <patternFill patternType="solid">
        <fgColor rgb="FFEBF5FB"/>
        <bgColor rgb="FFEAF2FB"/>
      </patternFill>
    </fill>
    <fill>
      <patternFill patternType="solid">
        <fgColor rgb="FFEAFAF1"/>
        <bgColor rgb="FFEBF5FB"/>
      </patternFill>
    </fill>
    <fill>
      <patternFill patternType="solid">
        <fgColor rgb="FFF9EBEA"/>
        <bgColor rgb="FFF5EEF8"/>
      </patternFill>
    </fill>
    <fill>
      <patternFill patternType="solid">
        <fgColor rgb="FFF5EEF8"/>
        <bgColor rgb="FFF5F5F5"/>
      </patternFill>
    </fill>
    <fill>
      <patternFill patternType="solid">
        <fgColor rgb="FFFFB3B3"/>
        <bgColor rgb="FFFFD166"/>
      </patternFill>
    </fill>
    <fill>
      <patternFill patternType="solid">
        <fgColor rgb="FFB3D9FF"/>
        <bgColor rgb="FFD5E8F3"/>
      </patternFill>
    </fill>
    <fill>
      <patternFill patternType="solid">
        <fgColor rgb="FFFFFDF0"/>
        <bgColor rgb="FFFEF9E7"/>
      </patternFill>
    </fill>
    <fill>
      <patternFill patternType="solid">
        <fgColor rgb="FFFF4444"/>
        <bgColor rgb="FFE94560"/>
      </patternFill>
    </fill>
    <fill>
      <patternFill patternType="solid">
        <fgColor rgb="FF00CC88"/>
        <bgColor rgb="FF06BCC1"/>
      </patternFill>
    </fill>
    <fill>
      <patternFill patternType="solid">
        <fgColor rgb="FF008800"/>
        <bgColor rgb="FF008080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0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800"/>
      <rgbColor rgb="FF000080"/>
      <rgbColor rgb="FF808000"/>
      <rgbColor rgb="FF800080"/>
      <rgbColor rgb="FF008080"/>
      <rgbColor rgb="FFBDC3C7"/>
      <rgbColor rgb="FF808080"/>
      <rgbColor rgb="FFF5EEF8"/>
      <rgbColor rgb="FFE94560"/>
      <rgbColor rgb="FFFEF9E7"/>
      <rgbColor rgb="FFEAFAF1"/>
      <rgbColor rgb="FF660066"/>
      <rgbColor rgb="FFFF8080"/>
      <rgbColor rgb="FF0066CC"/>
      <rgbColor rgb="FFB3D9FF"/>
      <rgbColor rgb="FF000080"/>
      <rgbColor rgb="FFFF00FF"/>
      <rgbColor rgb="FFFAFAFA"/>
      <rgbColor rgb="FF00FFFF"/>
      <rgbColor rgb="FF800080"/>
      <rgbColor rgb="FF800000"/>
      <rgbColor rgb="FF008080"/>
      <rgbColor rgb="FF0000FF"/>
      <rgbColor rgb="FF06BCC1"/>
      <rgbColor rgb="FFEBF5FB"/>
      <rgbColor rgb="FFD5E8F3"/>
      <rgbColor rgb="FFFFFDF0"/>
      <rgbColor rgb="FFEAF2FB"/>
      <rgbColor rgb="FFFFB3B3"/>
      <rgbColor rgb="FFF9EBEA"/>
      <rgbColor rgb="FFFFD166"/>
      <rgbColor rgb="FF3366FF"/>
      <rgbColor rgb="FF00CC88"/>
      <rgbColor rgb="FF99CC00"/>
      <rgbColor rgb="FFFFCC00"/>
      <rgbColor rgb="FFFF9900"/>
      <rgbColor rgb="FFFF4444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4"/>
      <c r="C10" s="4"/>
      <c r="D10" s="4"/>
      <c r="E10" s="4"/>
      <c r="F10" s="4"/>
      <c r="G10" s="4"/>
      <c r="H10" s="4"/>
      <c r="I10" s="4"/>
    </row>
    <row r="11" customFormat="false" ht="21.75" hidden="false" customHeight="true" outlineLevel="0" collapsed="false">
      <c r="A11" s="4"/>
      <c r="B11" s="5" t="s">
        <v>18</v>
      </c>
      <c r="C11" s="5"/>
      <c r="D11" s="5"/>
      <c r="E11" s="5"/>
      <c r="F11" s="5"/>
      <c r="G11" s="5"/>
      <c r="H11" s="5"/>
      <c r="I11" s="5"/>
    </row>
    <row r="12" customFormat="false" ht="21.75" hidden="false" customHeight="true" outlineLevel="0" collapsed="false">
      <c r="A12" s="4"/>
      <c r="B12" s="6" t="s">
        <v>19</v>
      </c>
      <c r="C12" s="6"/>
      <c r="D12" s="6"/>
      <c r="E12" s="6"/>
      <c r="F12" s="6"/>
      <c r="G12" s="6"/>
      <c r="H12" s="6"/>
      <c r="I12" s="6"/>
    </row>
    <row r="13" customFormat="false" ht="21.75" hidden="false" customHeight="true" outlineLevel="0" collapsed="false">
      <c r="A13" s="4"/>
      <c r="B13" s="7" t="s">
        <v>20</v>
      </c>
      <c r="C13" s="7"/>
      <c r="D13" s="7"/>
      <c r="E13" s="7"/>
      <c r="F13" s="7"/>
      <c r="G13" s="7"/>
      <c r="H13" s="7"/>
      <c r="I13" s="7"/>
    </row>
    <row r="14" customFormat="false" ht="21.75" hidden="false" customHeight="true" outlineLevel="0" collapsed="false">
      <c r="A14" s="4"/>
      <c r="B14" s="8" t="s">
        <v>21</v>
      </c>
      <c r="C14" s="8"/>
      <c r="D14" s="8"/>
      <c r="E14" s="8"/>
      <c r="F14" s="8"/>
      <c r="G14" s="8"/>
      <c r="H14" s="8"/>
      <c r="I14" s="8"/>
    </row>
    <row r="15" customFormat="false" ht="21.75" hidden="false" customHeight="true" outlineLevel="0" collapsed="false">
      <c r="A15" s="9" t="s">
        <v>22</v>
      </c>
      <c r="B15" s="10" t="s">
        <v>23</v>
      </c>
      <c r="C15" s="10" t="s">
        <v>24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11" t="s">
        <v>25</v>
      </c>
      <c r="C16" s="12" t="s">
        <v>26</v>
      </c>
      <c r="D16" s="12"/>
      <c r="E16" s="12"/>
      <c r="F16" s="12"/>
      <c r="G16" s="12"/>
      <c r="H16" s="12"/>
      <c r="I16" s="12"/>
    </row>
    <row r="17" customFormat="false" ht="19.5" hidden="false" customHeight="true" outlineLevel="0" collapsed="false">
      <c r="A17" s="4"/>
      <c r="B17" s="11" t="s">
        <v>27</v>
      </c>
      <c r="C17" s="12" t="s">
        <v>28</v>
      </c>
      <c r="D17" s="12"/>
      <c r="E17" s="12"/>
      <c r="F17" s="12"/>
      <c r="G17" s="12"/>
      <c r="H17" s="12"/>
      <c r="I17" s="12"/>
    </row>
    <row r="18" customFormat="false" ht="19.5" hidden="false" customHeight="true" outlineLevel="0" collapsed="false">
      <c r="A18" s="4"/>
      <c r="B18" s="11" t="s">
        <v>29</v>
      </c>
      <c r="C18" s="12" t="s">
        <v>30</v>
      </c>
      <c r="D18" s="12"/>
      <c r="E18" s="12"/>
      <c r="F18" s="12"/>
      <c r="G18" s="12"/>
      <c r="H18" s="12"/>
      <c r="I18" s="12"/>
    </row>
    <row r="19" customFormat="false" ht="19.5" hidden="false" customHeight="true" outlineLevel="0" collapsed="false">
      <c r="A19" s="4"/>
      <c r="B19" s="11" t="s">
        <v>31</v>
      </c>
      <c r="C19" s="12" t="s">
        <v>32</v>
      </c>
      <c r="D19" s="12"/>
      <c r="E19" s="12"/>
      <c r="F19" s="12"/>
      <c r="G19" s="12"/>
      <c r="H19" s="12"/>
      <c r="I19" s="12"/>
    </row>
    <row r="20" customFormat="false" ht="19.5" hidden="false" customHeight="true" outlineLevel="0" collapsed="false">
      <c r="A20" s="4"/>
      <c r="B20" s="11" t="s">
        <v>33</v>
      </c>
      <c r="C20" s="12" t="s">
        <v>34</v>
      </c>
      <c r="D20" s="12"/>
      <c r="E20" s="12"/>
      <c r="F20" s="12"/>
      <c r="G20" s="12"/>
      <c r="H20" s="12"/>
      <c r="I20" s="12"/>
    </row>
    <row r="21" customFormat="false" ht="19.5" hidden="false" customHeight="true" outlineLevel="0" collapsed="false">
      <c r="A21" s="4"/>
      <c r="B21" s="11" t="s">
        <v>35</v>
      </c>
      <c r="C21" s="12" t="s">
        <v>36</v>
      </c>
      <c r="D21" s="12"/>
      <c r="E21" s="12"/>
      <c r="F21" s="12"/>
      <c r="G21" s="12"/>
      <c r="H21" s="12"/>
      <c r="I21" s="12"/>
    </row>
  </sheetData>
  <mergeCells count="20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1:I11"/>
    <mergeCell ref="B12:I12"/>
    <mergeCell ref="B13:I13"/>
    <mergeCell ref="B14:I14"/>
    <mergeCell ref="C15:I15"/>
    <mergeCell ref="C16:I16"/>
    <mergeCell ref="C17:I17"/>
    <mergeCell ref="C18:I18"/>
    <mergeCell ref="C19:I19"/>
    <mergeCell ref="C20:I20"/>
    <mergeCell ref="C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10" min="6" style="0" width="14"/>
    <col collapsed="false" customWidth="true" hidden="false" outlineLevel="0" max="11" min="11" style="0" width="16"/>
  </cols>
  <sheetData>
    <row r="1" customFormat="false" ht="39.75" hidden="false" customHeight="true" outlineLevel="0" collapsed="false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30" hidden="false" customHeight="true" outlineLevel="0" collapsed="false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45</v>
      </c>
      <c r="I2" s="14" t="s">
        <v>46</v>
      </c>
      <c r="J2" s="14" t="s">
        <v>47</v>
      </c>
      <c r="K2" s="14" t="s">
        <v>48</v>
      </c>
    </row>
    <row r="3" customFormat="false" ht="24.75" hidden="false" customHeight="true" outlineLevel="0" collapsed="false">
      <c r="A3" s="15" t="s">
        <v>49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customFormat="false" ht="54.75" hidden="false" customHeight="true" outlineLevel="0" collapsed="false">
      <c r="A4" s="16" t="s">
        <v>50</v>
      </c>
      <c r="B4" s="16" t="s">
        <v>51</v>
      </c>
      <c r="C4" s="16" t="s">
        <v>52</v>
      </c>
      <c r="D4" s="16" t="s">
        <v>53</v>
      </c>
      <c r="E4" s="16" t="s">
        <v>54</v>
      </c>
      <c r="F4" s="16" t="s">
        <v>55</v>
      </c>
      <c r="G4" s="17" t="s">
        <v>56</v>
      </c>
      <c r="H4" s="16" t="s">
        <v>57</v>
      </c>
      <c r="I4" s="16" t="s">
        <v>58</v>
      </c>
      <c r="J4" s="16" t="s">
        <v>59</v>
      </c>
      <c r="K4" s="16" t="s">
        <v>60</v>
      </c>
    </row>
    <row r="5" customFormat="false" ht="54.75" hidden="false" customHeight="true" outlineLevel="0" collapsed="false">
      <c r="A5" s="18" t="s">
        <v>61</v>
      </c>
      <c r="B5" s="18" t="s">
        <v>62</v>
      </c>
      <c r="C5" s="18" t="s">
        <v>63</v>
      </c>
      <c r="D5" s="18" t="s">
        <v>57</v>
      </c>
      <c r="E5" s="18" t="s">
        <v>64</v>
      </c>
      <c r="F5" s="18" t="s">
        <v>65</v>
      </c>
      <c r="G5" s="17" t="s">
        <v>56</v>
      </c>
      <c r="H5" s="18" t="s">
        <v>66</v>
      </c>
      <c r="I5" s="18" t="s">
        <v>67</v>
      </c>
      <c r="J5" s="18" t="s">
        <v>68</v>
      </c>
      <c r="K5" s="18" t="s">
        <v>69</v>
      </c>
    </row>
    <row r="6" customFormat="false" ht="54.75" hidden="false" customHeight="true" outlineLevel="0" collapsed="false">
      <c r="A6" s="16" t="s">
        <v>70</v>
      </c>
      <c r="B6" s="16" t="s">
        <v>71</v>
      </c>
      <c r="C6" s="16" t="s">
        <v>72</v>
      </c>
      <c r="D6" s="16" t="s">
        <v>57</v>
      </c>
      <c r="E6" s="16" t="s">
        <v>73</v>
      </c>
      <c r="F6" s="16" t="s">
        <v>74</v>
      </c>
      <c r="G6" s="17" t="s">
        <v>56</v>
      </c>
      <c r="H6" s="16" t="s">
        <v>75</v>
      </c>
      <c r="I6" s="16" t="s">
        <v>76</v>
      </c>
      <c r="J6" s="16" t="s">
        <v>77</v>
      </c>
      <c r="K6" s="16" t="s">
        <v>78</v>
      </c>
    </row>
    <row r="7" customFormat="false" ht="24.75" hidden="false" customHeight="true" outlineLevel="0" collapsed="false">
      <c r="A7" s="15" t="s">
        <v>79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54.75" hidden="false" customHeight="true" outlineLevel="0" collapsed="false">
      <c r="A8" s="16" t="s">
        <v>80</v>
      </c>
      <c r="B8" s="16" t="s">
        <v>81</v>
      </c>
      <c r="C8" s="16" t="s">
        <v>82</v>
      </c>
      <c r="D8" s="16" t="s">
        <v>57</v>
      </c>
      <c r="E8" s="16" t="s">
        <v>64</v>
      </c>
      <c r="F8" s="16" t="s">
        <v>83</v>
      </c>
      <c r="G8" s="17" t="s">
        <v>56</v>
      </c>
      <c r="H8" s="16" t="s">
        <v>84</v>
      </c>
      <c r="I8" s="16" t="s">
        <v>85</v>
      </c>
      <c r="J8" s="16" t="s">
        <v>86</v>
      </c>
      <c r="K8" s="16" t="s">
        <v>87</v>
      </c>
    </row>
    <row r="9" customFormat="false" ht="54.75" hidden="false" customHeight="true" outlineLevel="0" collapsed="false">
      <c r="A9" s="18" t="s">
        <v>88</v>
      </c>
      <c r="B9" s="18" t="s">
        <v>89</v>
      </c>
      <c r="C9" s="18" t="s">
        <v>90</v>
      </c>
      <c r="D9" s="18" t="s">
        <v>57</v>
      </c>
      <c r="E9" s="18" t="s">
        <v>91</v>
      </c>
      <c r="F9" s="18" t="s">
        <v>92</v>
      </c>
      <c r="G9" s="17" t="s">
        <v>56</v>
      </c>
      <c r="H9" s="18" t="s">
        <v>93</v>
      </c>
      <c r="I9" s="18" t="s">
        <v>94</v>
      </c>
      <c r="J9" s="18" t="s">
        <v>95</v>
      </c>
      <c r="K9" s="18" t="s">
        <v>96</v>
      </c>
    </row>
    <row r="10" customFormat="false" ht="54.75" hidden="false" customHeight="true" outlineLevel="0" collapsed="false">
      <c r="A10" s="16" t="s">
        <v>97</v>
      </c>
      <c r="B10" s="16" t="s">
        <v>98</v>
      </c>
      <c r="C10" s="16" t="s">
        <v>99</v>
      </c>
      <c r="D10" s="16" t="s">
        <v>57</v>
      </c>
      <c r="E10" s="16" t="s">
        <v>91</v>
      </c>
      <c r="F10" s="16" t="s">
        <v>100</v>
      </c>
      <c r="G10" s="19" t="s">
        <v>101</v>
      </c>
      <c r="H10" s="16" t="s">
        <v>93</v>
      </c>
      <c r="I10" s="16" t="s">
        <v>102</v>
      </c>
      <c r="J10" s="16" t="s">
        <v>103</v>
      </c>
      <c r="K10" s="16" t="s">
        <v>104</v>
      </c>
    </row>
    <row r="11" customFormat="false" ht="24.75" hidden="false" customHeight="true" outlineLevel="0" collapsed="false">
      <c r="A11" s="15" t="s">
        <v>105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customFormat="false" ht="54.75" hidden="false" customHeight="true" outlineLevel="0" collapsed="false">
      <c r="A12" s="16" t="s">
        <v>106</v>
      </c>
      <c r="B12" s="16" t="s">
        <v>107</v>
      </c>
      <c r="C12" s="16" t="s">
        <v>108</v>
      </c>
      <c r="D12" s="16" t="s">
        <v>109</v>
      </c>
      <c r="E12" s="16" t="s">
        <v>110</v>
      </c>
      <c r="F12" s="16" t="s">
        <v>111</v>
      </c>
      <c r="G12" s="17" t="s">
        <v>56</v>
      </c>
      <c r="H12" s="16" t="s">
        <v>112</v>
      </c>
      <c r="I12" s="16" t="s">
        <v>113</v>
      </c>
      <c r="J12" s="16" t="s">
        <v>114</v>
      </c>
      <c r="K12" s="16" t="s">
        <v>115</v>
      </c>
    </row>
    <row r="13" customFormat="false" ht="54.75" hidden="false" customHeight="true" outlineLevel="0" collapsed="false">
      <c r="A13" s="18" t="s">
        <v>116</v>
      </c>
      <c r="B13" s="18" t="s">
        <v>117</v>
      </c>
      <c r="C13" s="18" t="s">
        <v>118</v>
      </c>
      <c r="D13" s="18" t="s">
        <v>109</v>
      </c>
      <c r="E13" s="18" t="s">
        <v>119</v>
      </c>
      <c r="F13" s="18" t="s">
        <v>120</v>
      </c>
      <c r="G13" s="17" t="s">
        <v>56</v>
      </c>
      <c r="H13" s="18" t="s">
        <v>57</v>
      </c>
      <c r="I13" s="18" t="s">
        <v>121</v>
      </c>
      <c r="J13" s="18" t="s">
        <v>122</v>
      </c>
      <c r="K13" s="18" t="s">
        <v>123</v>
      </c>
    </row>
    <row r="14" customFormat="false" ht="24.75" hidden="false" customHeight="true" outlineLevel="0" collapsed="false">
      <c r="A14" s="15" t="s">
        <v>124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customFormat="false" ht="54.75" hidden="false" customHeight="true" outlineLevel="0" collapsed="false">
      <c r="A15" s="18" t="s">
        <v>125</v>
      </c>
      <c r="B15" s="18" t="s">
        <v>126</v>
      </c>
      <c r="C15" s="18" t="s">
        <v>127</v>
      </c>
      <c r="D15" s="18" t="s">
        <v>57</v>
      </c>
      <c r="E15" s="18" t="s">
        <v>128</v>
      </c>
      <c r="F15" s="18" t="s">
        <v>129</v>
      </c>
      <c r="G15" s="17" t="s">
        <v>56</v>
      </c>
      <c r="H15" s="18" t="s">
        <v>130</v>
      </c>
      <c r="I15" s="18" t="s">
        <v>131</v>
      </c>
      <c r="J15" s="18" t="s">
        <v>132</v>
      </c>
      <c r="K15" s="18" t="s">
        <v>133</v>
      </c>
    </row>
    <row r="16" customFormat="false" ht="54.75" hidden="false" customHeight="true" outlineLevel="0" collapsed="false">
      <c r="A16" s="16" t="s">
        <v>134</v>
      </c>
      <c r="B16" s="16" t="s">
        <v>135</v>
      </c>
      <c r="C16" s="16" t="s">
        <v>136</v>
      </c>
      <c r="D16" s="16" t="s">
        <v>137</v>
      </c>
      <c r="E16" s="16" t="s">
        <v>138</v>
      </c>
      <c r="F16" s="16" t="s">
        <v>139</v>
      </c>
      <c r="G16" s="17" t="s">
        <v>56</v>
      </c>
      <c r="H16" s="16" t="s">
        <v>140</v>
      </c>
      <c r="I16" s="16" t="s">
        <v>141</v>
      </c>
      <c r="J16" s="16" t="s">
        <v>142</v>
      </c>
      <c r="K16" s="16" t="s">
        <v>143</v>
      </c>
    </row>
    <row r="17" customFormat="false" ht="24.75" hidden="false" customHeight="true" outlineLevel="0" collapsed="false">
      <c r="A17" s="15" t="s">
        <v>144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54.75" hidden="false" customHeight="true" outlineLevel="0" collapsed="false">
      <c r="A18" s="16" t="s">
        <v>145</v>
      </c>
      <c r="B18" s="16" t="s">
        <v>146</v>
      </c>
      <c r="C18" s="16" t="s">
        <v>147</v>
      </c>
      <c r="D18" s="16" t="s">
        <v>148</v>
      </c>
      <c r="E18" s="16" t="s">
        <v>119</v>
      </c>
      <c r="F18" s="16" t="s">
        <v>149</v>
      </c>
      <c r="G18" s="17" t="s">
        <v>56</v>
      </c>
      <c r="H18" s="16" t="s">
        <v>57</v>
      </c>
      <c r="I18" s="16" t="s">
        <v>150</v>
      </c>
      <c r="J18" s="16" t="s">
        <v>151</v>
      </c>
      <c r="K18" s="16" t="s">
        <v>69</v>
      </c>
    </row>
    <row r="19" customFormat="false" ht="54.75" hidden="false" customHeight="true" outlineLevel="0" collapsed="false">
      <c r="A19" s="18" t="s">
        <v>152</v>
      </c>
      <c r="B19" s="18" t="s">
        <v>153</v>
      </c>
      <c r="C19" s="18" t="s">
        <v>154</v>
      </c>
      <c r="D19" s="18" t="s">
        <v>57</v>
      </c>
      <c r="E19" s="18" t="s">
        <v>155</v>
      </c>
      <c r="F19" s="18" t="s">
        <v>156</v>
      </c>
      <c r="G19" s="17" t="s">
        <v>56</v>
      </c>
      <c r="H19" s="18" t="s">
        <v>157</v>
      </c>
      <c r="I19" s="18" t="s">
        <v>158</v>
      </c>
      <c r="J19" s="18" t="s">
        <v>159</v>
      </c>
      <c r="K19" s="18" t="s">
        <v>160</v>
      </c>
    </row>
    <row r="20" customFormat="false" ht="54.75" hidden="false" customHeight="true" outlineLevel="0" collapsed="false">
      <c r="A20" s="16" t="s">
        <v>161</v>
      </c>
      <c r="B20" s="16" t="s">
        <v>162</v>
      </c>
      <c r="C20" s="16" t="s">
        <v>163</v>
      </c>
      <c r="D20" s="16" t="s">
        <v>57</v>
      </c>
      <c r="E20" s="16" t="s">
        <v>91</v>
      </c>
      <c r="F20" s="16" t="s">
        <v>164</v>
      </c>
      <c r="G20" s="17" t="s">
        <v>56</v>
      </c>
      <c r="H20" s="16" t="s">
        <v>140</v>
      </c>
      <c r="I20" s="16" t="s">
        <v>165</v>
      </c>
      <c r="J20" s="16" t="s">
        <v>166</v>
      </c>
      <c r="K20" s="16" t="s">
        <v>167</v>
      </c>
    </row>
  </sheetData>
  <mergeCells count="6">
    <mergeCell ref="A1:K1"/>
    <mergeCell ref="A3:K3"/>
    <mergeCell ref="A7:K7"/>
    <mergeCell ref="A11:K11"/>
    <mergeCell ref="A14:K14"/>
    <mergeCell ref="A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9.75" hidden="false" customHeight="true" outlineLevel="0" collapsed="false">
      <c r="A1" s="13" t="s">
        <v>168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34.5" hidden="false" customHeight="true" outlineLevel="0" collapsed="false">
      <c r="A2" s="14" t="s">
        <v>169</v>
      </c>
      <c r="B2" s="14" t="s">
        <v>170</v>
      </c>
      <c r="C2" s="14" t="s">
        <v>171</v>
      </c>
      <c r="D2" s="14" t="s">
        <v>172</v>
      </c>
      <c r="E2" s="14" t="s">
        <v>173</v>
      </c>
      <c r="F2" s="14" t="s">
        <v>174</v>
      </c>
      <c r="G2" s="14" t="s">
        <v>175</v>
      </c>
      <c r="H2" s="14" t="s">
        <v>176</v>
      </c>
      <c r="I2" s="14" t="s">
        <v>177</v>
      </c>
      <c r="J2" s="14" t="s">
        <v>178</v>
      </c>
      <c r="K2" s="14" t="s">
        <v>179</v>
      </c>
      <c r="L2" s="14" t="s">
        <v>180</v>
      </c>
    </row>
    <row r="3" customFormat="false" ht="39.75" hidden="false" customHeight="true" outlineLevel="0" collapsed="false">
      <c r="A3" s="20" t="s">
        <v>181</v>
      </c>
      <c r="B3" s="20" t="s">
        <v>182</v>
      </c>
      <c r="C3" s="20" t="s">
        <v>183</v>
      </c>
      <c r="D3" s="20" t="s">
        <v>183</v>
      </c>
      <c r="E3" s="20" t="s">
        <v>184</v>
      </c>
      <c r="F3" s="21" t="s">
        <v>185</v>
      </c>
      <c r="G3" s="17" t="s">
        <v>186</v>
      </c>
      <c r="H3" s="22" t="s">
        <v>187</v>
      </c>
      <c r="I3" s="20" t="s">
        <v>188</v>
      </c>
      <c r="J3" s="20" t="s">
        <v>57</v>
      </c>
      <c r="K3" s="20" t="s">
        <v>189</v>
      </c>
      <c r="L3" s="20" t="s">
        <v>190</v>
      </c>
    </row>
    <row r="4" customFormat="false" ht="39.75" hidden="false" customHeight="true" outlineLevel="0" collapsed="false">
      <c r="A4" s="20" t="s">
        <v>191</v>
      </c>
      <c r="B4" s="20" t="s">
        <v>192</v>
      </c>
      <c r="C4" s="20" t="s">
        <v>183</v>
      </c>
      <c r="D4" s="20" t="s">
        <v>183</v>
      </c>
      <c r="E4" s="20" t="s">
        <v>193</v>
      </c>
      <c r="F4" s="21" t="s">
        <v>185</v>
      </c>
      <c r="G4" s="17" t="s">
        <v>186</v>
      </c>
      <c r="H4" s="22" t="s">
        <v>187</v>
      </c>
      <c r="I4" s="20" t="s">
        <v>188</v>
      </c>
      <c r="J4" s="20" t="s">
        <v>57</v>
      </c>
      <c r="K4" s="20" t="s">
        <v>194</v>
      </c>
      <c r="L4" s="20" t="s">
        <v>195</v>
      </c>
    </row>
    <row r="5" customFormat="false" ht="39.75" hidden="false" customHeight="true" outlineLevel="0" collapsed="false">
      <c r="A5" s="23" t="s">
        <v>196</v>
      </c>
      <c r="B5" s="23" t="s">
        <v>197</v>
      </c>
      <c r="C5" s="23" t="s">
        <v>198</v>
      </c>
      <c r="D5" s="23" t="s">
        <v>198</v>
      </c>
      <c r="E5" s="23" t="s">
        <v>199</v>
      </c>
      <c r="F5" s="21" t="s">
        <v>185</v>
      </c>
      <c r="G5" s="17" t="s">
        <v>186</v>
      </c>
      <c r="H5" s="19" t="s">
        <v>200</v>
      </c>
      <c r="I5" s="23" t="s">
        <v>201</v>
      </c>
      <c r="J5" s="23" t="s">
        <v>202</v>
      </c>
      <c r="K5" s="23" t="s">
        <v>203</v>
      </c>
      <c r="L5" s="23" t="s">
        <v>204</v>
      </c>
    </row>
    <row r="6" customFormat="false" ht="39.75" hidden="false" customHeight="true" outlineLevel="0" collapsed="false">
      <c r="A6" s="23" t="s">
        <v>205</v>
      </c>
      <c r="B6" s="23" t="s">
        <v>206</v>
      </c>
      <c r="C6" s="23" t="s">
        <v>198</v>
      </c>
      <c r="D6" s="23" t="s">
        <v>198</v>
      </c>
      <c r="E6" s="23" t="s">
        <v>207</v>
      </c>
      <c r="F6" s="21" t="s">
        <v>185</v>
      </c>
      <c r="G6" s="17" t="s">
        <v>186</v>
      </c>
      <c r="H6" s="19" t="s">
        <v>200</v>
      </c>
      <c r="I6" s="23" t="s">
        <v>201</v>
      </c>
      <c r="J6" s="23" t="s">
        <v>202</v>
      </c>
      <c r="K6" s="23" t="s">
        <v>208</v>
      </c>
      <c r="L6" s="23" t="s">
        <v>209</v>
      </c>
    </row>
    <row r="7" customFormat="false" ht="39.75" hidden="false" customHeight="true" outlineLevel="0" collapsed="false">
      <c r="A7" s="23" t="s">
        <v>210</v>
      </c>
      <c r="B7" s="23" t="s">
        <v>211</v>
      </c>
      <c r="C7" s="23" t="s">
        <v>198</v>
      </c>
      <c r="D7" s="23" t="s">
        <v>212</v>
      </c>
      <c r="E7" s="23" t="s">
        <v>213</v>
      </c>
      <c r="F7" s="17" t="s">
        <v>186</v>
      </c>
      <c r="G7" s="17" t="s">
        <v>186</v>
      </c>
      <c r="H7" s="19" t="s">
        <v>214</v>
      </c>
      <c r="I7" s="23" t="s">
        <v>215</v>
      </c>
      <c r="J7" s="23" t="s">
        <v>216</v>
      </c>
      <c r="K7" s="23" t="s">
        <v>217</v>
      </c>
      <c r="L7" s="23" t="s">
        <v>218</v>
      </c>
    </row>
    <row r="8" customFormat="false" ht="39.75" hidden="false" customHeight="true" outlineLevel="0" collapsed="false">
      <c r="A8" s="24" t="s">
        <v>219</v>
      </c>
      <c r="B8" s="24" t="s">
        <v>220</v>
      </c>
      <c r="C8" s="24" t="s">
        <v>221</v>
      </c>
      <c r="D8" s="24" t="s">
        <v>221</v>
      </c>
      <c r="E8" s="24" t="s">
        <v>222</v>
      </c>
      <c r="F8" s="21" t="s">
        <v>185</v>
      </c>
      <c r="G8" s="17" t="s">
        <v>186</v>
      </c>
      <c r="H8" s="17" t="s">
        <v>223</v>
      </c>
      <c r="I8" s="24" t="s">
        <v>224</v>
      </c>
      <c r="J8" s="24" t="s">
        <v>225</v>
      </c>
      <c r="K8" s="24" t="s">
        <v>226</v>
      </c>
      <c r="L8" s="24" t="s">
        <v>227</v>
      </c>
    </row>
    <row r="9" customFormat="false" ht="39.75" hidden="false" customHeight="true" outlineLevel="0" collapsed="false">
      <c r="A9" s="24" t="s">
        <v>228</v>
      </c>
      <c r="B9" s="24" t="s">
        <v>229</v>
      </c>
      <c r="C9" s="24" t="s">
        <v>221</v>
      </c>
      <c r="D9" s="24" t="s">
        <v>183</v>
      </c>
      <c r="E9" s="24" t="s">
        <v>230</v>
      </c>
      <c r="F9" s="17" t="s">
        <v>186</v>
      </c>
      <c r="G9" s="17" t="s">
        <v>186</v>
      </c>
      <c r="H9" s="17" t="s">
        <v>223</v>
      </c>
      <c r="I9" s="24" t="s">
        <v>224</v>
      </c>
      <c r="J9" s="24" t="s">
        <v>225</v>
      </c>
      <c r="K9" s="24" t="s">
        <v>231</v>
      </c>
      <c r="L9" s="24" t="s">
        <v>232</v>
      </c>
    </row>
    <row r="10" customFormat="false" ht="39.75" hidden="false" customHeight="true" outlineLevel="0" collapsed="false">
      <c r="A10" s="24" t="s">
        <v>233</v>
      </c>
      <c r="B10" s="24" t="s">
        <v>234</v>
      </c>
      <c r="C10" s="24" t="s">
        <v>235</v>
      </c>
      <c r="D10" s="24" t="s">
        <v>235</v>
      </c>
      <c r="E10" s="24" t="s">
        <v>236</v>
      </c>
      <c r="F10" s="21" t="s">
        <v>185</v>
      </c>
      <c r="G10" s="21" t="s">
        <v>185</v>
      </c>
      <c r="H10" s="17" t="s">
        <v>237</v>
      </c>
      <c r="I10" s="24" t="s">
        <v>224</v>
      </c>
      <c r="J10" s="24" t="s">
        <v>238</v>
      </c>
      <c r="K10" s="24" t="s">
        <v>239</v>
      </c>
      <c r="L10" s="24" t="s">
        <v>240</v>
      </c>
    </row>
    <row r="11" customFormat="false" ht="39.75" hidden="false" customHeight="true" outlineLevel="0" collapsed="false">
      <c r="A11" s="24" t="s">
        <v>241</v>
      </c>
      <c r="B11" s="24" t="s">
        <v>242</v>
      </c>
      <c r="C11" s="24" t="s">
        <v>235</v>
      </c>
      <c r="D11" s="24" t="s">
        <v>198</v>
      </c>
      <c r="E11" s="24" t="s">
        <v>243</v>
      </c>
      <c r="F11" s="17" t="s">
        <v>186</v>
      </c>
      <c r="G11" s="21" t="s">
        <v>185</v>
      </c>
      <c r="H11" s="17" t="s">
        <v>223</v>
      </c>
      <c r="I11" s="24" t="s">
        <v>224</v>
      </c>
      <c r="J11" s="24" t="s">
        <v>225</v>
      </c>
      <c r="K11" s="24" t="s">
        <v>244</v>
      </c>
      <c r="L11" s="24" t="s">
        <v>245</v>
      </c>
    </row>
    <row r="12" customFormat="false" ht="39.75" hidden="false" customHeight="true" outlineLevel="0" collapsed="false">
      <c r="A12" s="25" t="s">
        <v>246</v>
      </c>
      <c r="B12" s="25" t="s">
        <v>247</v>
      </c>
      <c r="C12" s="25" t="s">
        <v>248</v>
      </c>
      <c r="D12" s="25" t="s">
        <v>248</v>
      </c>
      <c r="E12" s="25" t="s">
        <v>249</v>
      </c>
      <c r="F12" s="21" t="s">
        <v>185</v>
      </c>
      <c r="G12" s="21" t="s">
        <v>185</v>
      </c>
      <c r="H12" s="19" t="s">
        <v>250</v>
      </c>
      <c r="I12" s="25" t="s">
        <v>251</v>
      </c>
      <c r="J12" s="25" t="s">
        <v>252</v>
      </c>
      <c r="K12" s="25" t="s">
        <v>253</v>
      </c>
      <c r="L12" s="25" t="s">
        <v>254</v>
      </c>
    </row>
    <row r="13" customFormat="false" ht="39.75" hidden="false" customHeight="true" outlineLevel="0" collapsed="false">
      <c r="A13" s="25" t="s">
        <v>255</v>
      </c>
      <c r="B13" s="25" t="s">
        <v>256</v>
      </c>
      <c r="C13" s="25" t="s">
        <v>257</v>
      </c>
      <c r="D13" s="25" t="s">
        <v>257</v>
      </c>
      <c r="E13" s="25" t="s">
        <v>258</v>
      </c>
      <c r="F13" s="21" t="s">
        <v>185</v>
      </c>
      <c r="G13" s="21" t="s">
        <v>185</v>
      </c>
      <c r="H13" s="19" t="s">
        <v>259</v>
      </c>
      <c r="I13" s="25" t="s">
        <v>260</v>
      </c>
      <c r="J13" s="25" t="s">
        <v>261</v>
      </c>
      <c r="K13" s="25" t="s">
        <v>262</v>
      </c>
      <c r="L13" s="25" t="s">
        <v>263</v>
      </c>
    </row>
    <row r="14" customFormat="false" ht="39.75" hidden="false" customHeight="true" outlineLevel="0" collapsed="false">
      <c r="A14" s="26" t="s">
        <v>264</v>
      </c>
      <c r="B14" s="26" t="s">
        <v>265</v>
      </c>
      <c r="C14" s="26" t="s">
        <v>221</v>
      </c>
      <c r="D14" s="26" t="s">
        <v>221</v>
      </c>
      <c r="E14" s="26" t="s">
        <v>266</v>
      </c>
      <c r="F14" s="21" t="s">
        <v>185</v>
      </c>
      <c r="G14" s="21" t="s">
        <v>185</v>
      </c>
      <c r="H14" s="17" t="s">
        <v>223</v>
      </c>
      <c r="I14" s="26" t="s">
        <v>260</v>
      </c>
      <c r="J14" s="26" t="s">
        <v>225</v>
      </c>
      <c r="K14" s="26" t="s">
        <v>267</v>
      </c>
      <c r="L14" s="26" t="s">
        <v>268</v>
      </c>
    </row>
    <row r="15" customFormat="false" ht="39.75" hidden="false" customHeight="true" outlineLevel="0" collapsed="false">
      <c r="A15" s="26" t="s">
        <v>269</v>
      </c>
      <c r="B15" s="26" t="s">
        <v>270</v>
      </c>
      <c r="C15" s="26" t="s">
        <v>221</v>
      </c>
      <c r="D15" s="26" t="s">
        <v>183</v>
      </c>
      <c r="E15" s="26" t="s">
        <v>271</v>
      </c>
      <c r="F15" s="17" t="s">
        <v>186</v>
      </c>
      <c r="G15" s="21" t="s">
        <v>185</v>
      </c>
      <c r="H15" s="17" t="s">
        <v>223</v>
      </c>
      <c r="I15" s="26" t="s">
        <v>260</v>
      </c>
      <c r="J15" s="26" t="s">
        <v>225</v>
      </c>
      <c r="K15" s="26" t="s">
        <v>272</v>
      </c>
      <c r="L15" s="26" t="s">
        <v>273</v>
      </c>
    </row>
    <row r="16" customFormat="false" ht="39.75" hidden="false" customHeight="true" outlineLevel="0" collapsed="false">
      <c r="A16" s="26" t="s">
        <v>274</v>
      </c>
      <c r="B16" s="26" t="s">
        <v>275</v>
      </c>
      <c r="C16" s="26" t="s">
        <v>276</v>
      </c>
      <c r="D16" s="26" t="s">
        <v>276</v>
      </c>
      <c r="E16" s="26" t="s">
        <v>277</v>
      </c>
      <c r="F16" s="21" t="s">
        <v>185</v>
      </c>
      <c r="G16" s="21" t="s">
        <v>185</v>
      </c>
      <c r="H16" s="19" t="s">
        <v>278</v>
      </c>
      <c r="I16" s="26" t="s">
        <v>260</v>
      </c>
      <c r="J16" s="26" t="s">
        <v>279</v>
      </c>
      <c r="K16" s="26" t="s">
        <v>280</v>
      </c>
      <c r="L16" s="26" t="s">
        <v>281</v>
      </c>
    </row>
    <row r="17" customFormat="false" ht="18" hidden="false" customHeight="true" outlineLevel="0" collapsed="false">
      <c r="A17" s="27" t="s">
        <v>282</v>
      </c>
      <c r="B17" s="27"/>
      <c r="C17" s="28" t="s">
        <v>283</v>
      </c>
      <c r="D17" s="28"/>
      <c r="E17" s="28"/>
      <c r="F17" s="28"/>
      <c r="G17" s="28"/>
      <c r="H17" s="28"/>
      <c r="I17" s="28"/>
      <c r="J17" s="28"/>
      <c r="K17" s="28"/>
    </row>
    <row r="18" customFormat="false" ht="18" hidden="false" customHeight="true" outlineLevel="0" collapsed="false">
      <c r="C18" s="29" t="s">
        <v>284</v>
      </c>
      <c r="D18" s="29"/>
      <c r="E18" s="29"/>
      <c r="F18" s="29"/>
      <c r="G18" s="29"/>
      <c r="H18" s="29"/>
      <c r="I18" s="29"/>
      <c r="J18" s="29"/>
      <c r="K18" s="29"/>
    </row>
    <row r="19" customFormat="false" ht="18" hidden="false" customHeight="true" outlineLevel="0" collapsed="false">
      <c r="C19" s="30" t="s">
        <v>285</v>
      </c>
      <c r="D19" s="30"/>
      <c r="E19" s="30"/>
      <c r="F19" s="30"/>
      <c r="G19" s="30"/>
      <c r="H19" s="30"/>
      <c r="I19" s="30"/>
      <c r="J19" s="30"/>
      <c r="K19" s="30"/>
    </row>
    <row r="20" customFormat="false" ht="18" hidden="false" customHeight="true" outlineLevel="0" collapsed="false">
      <c r="C20" s="31" t="s">
        <v>286</v>
      </c>
      <c r="D20" s="31"/>
      <c r="E20" s="31"/>
      <c r="F20" s="31"/>
      <c r="G20" s="31"/>
      <c r="H20" s="31"/>
      <c r="I20" s="31"/>
      <c r="J20" s="31"/>
      <c r="K20" s="31"/>
    </row>
    <row r="21" customFormat="false" ht="18" hidden="false" customHeight="true" outlineLevel="0" collapsed="false">
      <c r="C21" s="32" t="s">
        <v>287</v>
      </c>
      <c r="D21" s="32"/>
      <c r="E21" s="32"/>
      <c r="F21" s="32"/>
      <c r="G21" s="32"/>
      <c r="H21" s="32"/>
      <c r="I21" s="32"/>
      <c r="J21" s="32"/>
      <c r="K21" s="32"/>
    </row>
  </sheetData>
  <mergeCells count="7">
    <mergeCell ref="A1:L1"/>
    <mergeCell ref="A17:B17"/>
    <mergeCell ref="C17:K17"/>
    <mergeCell ref="C18:K18"/>
    <mergeCell ref="C19:K19"/>
    <mergeCell ref="C20:K20"/>
    <mergeCell ref="C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17" min="3" style="0" width="7"/>
    <col collapsed="false" customWidth="true" hidden="false" outlineLevel="0" max="18" min="18" style="0" width="14"/>
  </cols>
  <sheetData>
    <row r="1" customFormat="false" ht="39.75" hidden="false" customHeight="true" outlineLevel="0" collapsed="false">
      <c r="A1" s="13" t="s">
        <v>288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customFormat="false" ht="24.75" hidden="false" customHeight="true" outlineLevel="0" collapsed="false">
      <c r="A2" s="33" t="s">
        <v>289</v>
      </c>
      <c r="B2" s="33"/>
      <c r="C2" s="34" t="s">
        <v>290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customFormat="false" ht="24.75" hidden="false" customHeight="true" outlineLevel="0" collapsed="false">
      <c r="A3" s="35" t="s">
        <v>291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customFormat="false" ht="21.75" hidden="false" customHeight="true" outlineLevel="0" collapsed="false">
      <c r="A4" s="36" t="s">
        <v>292</v>
      </c>
      <c r="B4" s="10" t="s">
        <v>293</v>
      </c>
      <c r="C4" s="10" t="s">
        <v>294</v>
      </c>
      <c r="D4" s="10" t="s">
        <v>295</v>
      </c>
      <c r="E4" s="10" t="s">
        <v>296</v>
      </c>
    </row>
    <row r="5" customFormat="false" ht="21.75" hidden="false" customHeight="true" outlineLevel="0" collapsed="false">
      <c r="A5" s="36" t="s">
        <v>297</v>
      </c>
      <c r="B5" s="37" t="s">
        <v>298</v>
      </c>
      <c r="C5" s="37" t="s">
        <v>299</v>
      </c>
      <c r="D5" s="37" t="s">
        <v>300</v>
      </c>
      <c r="E5" s="37" t="s">
        <v>301</v>
      </c>
    </row>
    <row r="6" customFormat="false" ht="21.75" hidden="false" customHeight="true" outlineLevel="0" collapsed="false">
      <c r="A6" s="38" t="s">
        <v>302</v>
      </c>
      <c r="B6" s="39" t="s">
        <v>303</v>
      </c>
      <c r="C6" s="39" t="s">
        <v>303</v>
      </c>
      <c r="D6" s="40" t="s">
        <v>304</v>
      </c>
      <c r="E6" s="40" t="s">
        <v>304</v>
      </c>
    </row>
    <row r="7" customFormat="false" ht="34.5" hidden="false" customHeight="true" outlineLevel="0" collapsed="false">
      <c r="A7" s="41" t="s">
        <v>305</v>
      </c>
      <c r="B7" s="42" t="s">
        <v>306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9" customFormat="false" ht="24.75" hidden="false" customHeight="true" outlineLevel="0" collapsed="false">
      <c r="A9" s="35" t="s">
        <v>307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</row>
    <row r="10" customFormat="false" ht="21.75" hidden="false" customHeight="true" outlineLevel="0" collapsed="false">
      <c r="A10" s="36" t="s">
        <v>292</v>
      </c>
      <c r="B10" s="10" t="s">
        <v>293</v>
      </c>
      <c r="C10" s="10" t="s">
        <v>294</v>
      </c>
      <c r="D10" s="10" t="s">
        <v>295</v>
      </c>
      <c r="E10" s="10" t="s">
        <v>296</v>
      </c>
      <c r="F10" s="10" t="s">
        <v>308</v>
      </c>
      <c r="G10" s="10" t="s">
        <v>309</v>
      </c>
    </row>
    <row r="11" customFormat="false" ht="21.75" hidden="false" customHeight="true" outlineLevel="0" collapsed="false">
      <c r="A11" s="36" t="s">
        <v>297</v>
      </c>
      <c r="B11" s="37" t="s">
        <v>310</v>
      </c>
      <c r="C11" s="37" t="s">
        <v>298</v>
      </c>
      <c r="D11" s="37" t="s">
        <v>301</v>
      </c>
      <c r="E11" s="37" t="s">
        <v>311</v>
      </c>
      <c r="F11" s="37" t="s">
        <v>299</v>
      </c>
      <c r="G11" s="37" t="s">
        <v>300</v>
      </c>
    </row>
    <row r="12" customFormat="false" ht="21.75" hidden="false" customHeight="true" outlineLevel="0" collapsed="false">
      <c r="A12" s="38" t="s">
        <v>302</v>
      </c>
      <c r="B12" s="39" t="s">
        <v>303</v>
      </c>
      <c r="C12" s="40" t="s">
        <v>304</v>
      </c>
      <c r="D12" s="39" t="s">
        <v>303</v>
      </c>
      <c r="E12" s="40" t="s">
        <v>304</v>
      </c>
      <c r="F12" s="39" t="s">
        <v>303</v>
      </c>
      <c r="G12" s="40" t="s">
        <v>304</v>
      </c>
    </row>
    <row r="13" customFormat="false" ht="34.5" hidden="false" customHeight="true" outlineLevel="0" collapsed="false">
      <c r="A13" s="41" t="s">
        <v>305</v>
      </c>
      <c r="B13" s="42" t="s">
        <v>312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5" customFormat="false" ht="24.75" hidden="false" customHeight="true" outlineLevel="0" collapsed="false">
      <c r="A15" s="35" t="s">
        <v>313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</row>
    <row r="16" customFormat="false" ht="21.75" hidden="false" customHeight="true" outlineLevel="0" collapsed="false">
      <c r="A16" s="36" t="s">
        <v>292</v>
      </c>
      <c r="B16" s="10" t="s">
        <v>293</v>
      </c>
      <c r="C16" s="10" t="s">
        <v>294</v>
      </c>
      <c r="D16" s="10" t="s">
        <v>295</v>
      </c>
      <c r="E16" s="10" t="s">
        <v>296</v>
      </c>
      <c r="F16" s="10" t="s">
        <v>308</v>
      </c>
      <c r="G16" s="10" t="s">
        <v>309</v>
      </c>
      <c r="H16" s="10" t="s">
        <v>314</v>
      </c>
      <c r="I16" s="10" t="s">
        <v>315</v>
      </c>
    </row>
    <row r="17" customFormat="false" ht="21.75" hidden="false" customHeight="true" outlineLevel="0" collapsed="false">
      <c r="A17" s="36" t="s">
        <v>297</v>
      </c>
      <c r="B17" s="37" t="s">
        <v>310</v>
      </c>
      <c r="C17" s="37" t="s">
        <v>298</v>
      </c>
      <c r="D17" s="37" t="s">
        <v>316</v>
      </c>
      <c r="E17" s="37" t="s">
        <v>301</v>
      </c>
      <c r="F17" s="37" t="s">
        <v>311</v>
      </c>
      <c r="G17" s="37" t="s">
        <v>299</v>
      </c>
      <c r="H17" s="37" t="s">
        <v>317</v>
      </c>
      <c r="I17" s="37" t="s">
        <v>300</v>
      </c>
    </row>
    <row r="18" customFormat="false" ht="21.75" hidden="false" customHeight="true" outlineLevel="0" collapsed="false">
      <c r="A18" s="38" t="s">
        <v>302</v>
      </c>
      <c r="B18" s="39" t="s">
        <v>303</v>
      </c>
      <c r="C18" s="40" t="s">
        <v>304</v>
      </c>
      <c r="D18" s="39" t="s">
        <v>303</v>
      </c>
      <c r="E18" s="40" t="s">
        <v>304</v>
      </c>
      <c r="F18" s="39" t="s">
        <v>303</v>
      </c>
      <c r="G18" s="40" t="s">
        <v>304</v>
      </c>
      <c r="H18" s="39" t="s">
        <v>303</v>
      </c>
      <c r="I18" s="40" t="s">
        <v>304</v>
      </c>
    </row>
    <row r="19" customFormat="false" ht="34.5" hidden="false" customHeight="true" outlineLevel="0" collapsed="false">
      <c r="A19" s="41" t="s">
        <v>305</v>
      </c>
      <c r="B19" s="42" t="s">
        <v>318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1" customFormat="false" ht="24.75" hidden="false" customHeight="true" outlineLevel="0" collapsed="false">
      <c r="A21" s="35" t="s">
        <v>319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</row>
    <row r="22" customFormat="false" ht="21.75" hidden="false" customHeight="true" outlineLevel="0" collapsed="false">
      <c r="A22" s="36" t="s">
        <v>292</v>
      </c>
      <c r="B22" s="10" t="s">
        <v>320</v>
      </c>
      <c r="C22" s="10" t="s">
        <v>321</v>
      </c>
      <c r="D22" s="10" t="s">
        <v>322</v>
      </c>
      <c r="E22" s="10" t="s">
        <v>323</v>
      </c>
      <c r="F22" s="10" t="s">
        <v>324</v>
      </c>
      <c r="G22" s="10" t="s">
        <v>325</v>
      </c>
    </row>
    <row r="23" customFormat="false" ht="21.75" hidden="false" customHeight="true" outlineLevel="0" collapsed="false">
      <c r="A23" s="36" t="s">
        <v>297</v>
      </c>
      <c r="B23" s="37" t="s">
        <v>326</v>
      </c>
      <c r="C23" s="37" t="s">
        <v>327</v>
      </c>
      <c r="D23" s="37" t="s">
        <v>328</v>
      </c>
      <c r="E23" s="37" t="s">
        <v>329</v>
      </c>
      <c r="F23" s="37" t="s">
        <v>330</v>
      </c>
      <c r="G23" s="37" t="s">
        <v>331</v>
      </c>
    </row>
    <row r="24" customFormat="false" ht="21.75" hidden="false" customHeight="true" outlineLevel="0" collapsed="false">
      <c r="A24" s="38" t="s">
        <v>302</v>
      </c>
      <c r="B24" s="40" t="s">
        <v>304</v>
      </c>
      <c r="C24" s="39" t="s">
        <v>303</v>
      </c>
      <c r="D24" s="40" t="s">
        <v>304</v>
      </c>
      <c r="E24" s="39" t="s">
        <v>303</v>
      </c>
      <c r="F24" s="40" t="s">
        <v>304</v>
      </c>
      <c r="G24" s="39" t="s">
        <v>303</v>
      </c>
    </row>
    <row r="25" customFormat="false" ht="34.5" hidden="false" customHeight="true" outlineLevel="0" collapsed="false">
      <c r="A25" s="41" t="s">
        <v>305</v>
      </c>
      <c r="B25" s="42" t="s">
        <v>332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7" customFormat="false" ht="24.75" hidden="false" customHeight="true" outlineLevel="0" collapsed="false">
      <c r="A27" s="35" t="s">
        <v>333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</row>
    <row r="28" customFormat="false" ht="21.75" hidden="false" customHeight="true" outlineLevel="0" collapsed="false">
      <c r="A28" s="36" t="s">
        <v>292</v>
      </c>
      <c r="B28" s="10" t="s">
        <v>293</v>
      </c>
      <c r="C28" s="10" t="s">
        <v>294</v>
      </c>
      <c r="D28" s="10" t="s">
        <v>295</v>
      </c>
      <c r="E28" s="10" t="s">
        <v>296</v>
      </c>
      <c r="F28" s="10" t="s">
        <v>308</v>
      </c>
      <c r="G28" s="10" t="s">
        <v>309</v>
      </c>
      <c r="H28" s="10" t="s">
        <v>314</v>
      </c>
      <c r="I28" s="10" t="s">
        <v>315</v>
      </c>
      <c r="J28" s="10" t="s">
        <v>334</v>
      </c>
      <c r="K28" s="10" t="s">
        <v>335</v>
      </c>
      <c r="L28" s="10" t="s">
        <v>336</v>
      </c>
      <c r="M28" s="10" t="s">
        <v>337</v>
      </c>
    </row>
    <row r="29" customFormat="false" ht="21.75" hidden="false" customHeight="true" outlineLevel="0" collapsed="false">
      <c r="A29" s="36" t="s">
        <v>297</v>
      </c>
      <c r="B29" s="37" t="s">
        <v>338</v>
      </c>
      <c r="C29" s="37" t="s">
        <v>339</v>
      </c>
      <c r="D29" s="37" t="s">
        <v>340</v>
      </c>
      <c r="E29" s="37" t="s">
        <v>341</v>
      </c>
      <c r="F29" s="37" t="s">
        <v>342</v>
      </c>
      <c r="G29" s="37" t="s">
        <v>343</v>
      </c>
      <c r="H29" s="37" t="s">
        <v>344</v>
      </c>
      <c r="I29" s="37" t="s">
        <v>345</v>
      </c>
      <c r="J29" s="37" t="s">
        <v>346</v>
      </c>
      <c r="K29" s="37" t="s">
        <v>347</v>
      </c>
      <c r="L29" s="37" t="s">
        <v>348</v>
      </c>
      <c r="M29" s="37" t="s">
        <v>349</v>
      </c>
    </row>
    <row r="30" customFormat="false" ht="21.75" hidden="false" customHeight="true" outlineLevel="0" collapsed="false">
      <c r="A30" s="38" t="s">
        <v>302</v>
      </c>
      <c r="B30" s="39" t="s">
        <v>303</v>
      </c>
      <c r="C30" s="40" t="s">
        <v>304</v>
      </c>
      <c r="D30" s="39" t="s">
        <v>303</v>
      </c>
      <c r="E30" s="40" t="s">
        <v>304</v>
      </c>
      <c r="F30" s="39" t="s">
        <v>303</v>
      </c>
      <c r="G30" s="40" t="s">
        <v>304</v>
      </c>
      <c r="H30" s="39" t="s">
        <v>303</v>
      </c>
      <c r="I30" s="40" t="s">
        <v>304</v>
      </c>
      <c r="J30" s="39" t="s">
        <v>303</v>
      </c>
      <c r="K30" s="40" t="s">
        <v>304</v>
      </c>
      <c r="L30" s="39" t="s">
        <v>303</v>
      </c>
      <c r="M30" s="40" t="s">
        <v>304</v>
      </c>
    </row>
    <row r="31" customFormat="false" ht="34.5" hidden="false" customHeight="true" outlineLevel="0" collapsed="false">
      <c r="A31" s="41" t="s">
        <v>305</v>
      </c>
      <c r="B31" s="42" t="s">
        <v>350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3" customFormat="false" ht="24.75" hidden="false" customHeight="true" outlineLevel="0" collapsed="false">
      <c r="A33" s="35" t="s">
        <v>351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customFormat="false" ht="21.75" hidden="false" customHeight="true" outlineLevel="0" collapsed="false">
      <c r="A34" s="36" t="s">
        <v>292</v>
      </c>
      <c r="B34" s="10" t="s">
        <v>352</v>
      </c>
      <c r="C34" s="10" t="s">
        <v>353</v>
      </c>
      <c r="D34" s="10" t="s">
        <v>354</v>
      </c>
      <c r="E34" s="10" t="s">
        <v>355</v>
      </c>
      <c r="F34" s="10" t="s">
        <v>356</v>
      </c>
      <c r="G34" s="10" t="s">
        <v>357</v>
      </c>
      <c r="H34" s="10" t="s">
        <v>358</v>
      </c>
      <c r="I34" s="10" t="s">
        <v>359</v>
      </c>
      <c r="J34" s="10" t="s">
        <v>360</v>
      </c>
      <c r="K34" s="10" t="s">
        <v>361</v>
      </c>
      <c r="L34" s="10" t="s">
        <v>362</v>
      </c>
      <c r="M34" s="10" t="s">
        <v>363</v>
      </c>
    </row>
    <row r="35" customFormat="false" ht="21.75" hidden="false" customHeight="true" outlineLevel="0" collapsed="false">
      <c r="A35" s="36" t="s">
        <v>297</v>
      </c>
      <c r="B35" s="37" t="s">
        <v>364</v>
      </c>
      <c r="C35" s="37" t="s">
        <v>365</v>
      </c>
      <c r="D35" s="37" t="s">
        <v>366</v>
      </c>
      <c r="E35" s="37" t="s">
        <v>367</v>
      </c>
      <c r="F35" s="37" t="s">
        <v>368</v>
      </c>
      <c r="G35" s="37" t="s">
        <v>369</v>
      </c>
      <c r="H35" s="37" t="s">
        <v>370</v>
      </c>
      <c r="I35" s="37" t="s">
        <v>371</v>
      </c>
      <c r="J35" s="37" t="s">
        <v>372</v>
      </c>
      <c r="K35" s="37" t="s">
        <v>373</v>
      </c>
      <c r="L35" s="37" t="s">
        <v>374</v>
      </c>
      <c r="M35" s="37" t="s">
        <v>375</v>
      </c>
    </row>
    <row r="36" customFormat="false" ht="21.75" hidden="false" customHeight="true" outlineLevel="0" collapsed="false">
      <c r="A36" s="38" t="s">
        <v>302</v>
      </c>
      <c r="B36" s="40" t="s">
        <v>304</v>
      </c>
      <c r="C36" s="39" t="s">
        <v>303</v>
      </c>
      <c r="D36" s="40" t="s">
        <v>304</v>
      </c>
      <c r="E36" s="39" t="s">
        <v>303</v>
      </c>
      <c r="F36" s="40" t="s">
        <v>304</v>
      </c>
      <c r="G36" s="39" t="s">
        <v>303</v>
      </c>
      <c r="H36" s="40" t="s">
        <v>304</v>
      </c>
      <c r="I36" s="39" t="s">
        <v>303</v>
      </c>
      <c r="J36" s="40" t="s">
        <v>304</v>
      </c>
      <c r="K36" s="39" t="s">
        <v>303</v>
      </c>
      <c r="L36" s="40" t="s">
        <v>304</v>
      </c>
      <c r="M36" s="39" t="s">
        <v>303</v>
      </c>
    </row>
    <row r="37" customFormat="false" ht="34.5" hidden="false" customHeight="true" outlineLevel="0" collapsed="false">
      <c r="A37" s="41" t="s">
        <v>305</v>
      </c>
      <c r="B37" s="42" t="s">
        <v>376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</sheetData>
  <mergeCells count="15">
    <mergeCell ref="A1:R1"/>
    <mergeCell ref="A2:B2"/>
    <mergeCell ref="C2:R2"/>
    <mergeCell ref="A3:R3"/>
    <mergeCell ref="B7:Q7"/>
    <mergeCell ref="A9:R9"/>
    <mergeCell ref="B13:Q13"/>
    <mergeCell ref="A15:R15"/>
    <mergeCell ref="B19:Q19"/>
    <mergeCell ref="A21:R21"/>
    <mergeCell ref="B25:Q25"/>
    <mergeCell ref="A27:R27"/>
    <mergeCell ref="B31:Q31"/>
    <mergeCell ref="A33:R33"/>
    <mergeCell ref="B37:Q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10" min="9" style="0" width="16"/>
  </cols>
  <sheetData>
    <row r="1" customFormat="false" ht="39.75" hidden="false" customHeight="true" outlineLevel="0" collapsed="false">
      <c r="A1" s="13" t="s">
        <v>377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30" hidden="false" customHeight="true" outlineLevel="0" collapsed="false">
      <c r="A2" s="14" t="s">
        <v>169</v>
      </c>
      <c r="B2" s="14" t="s">
        <v>378</v>
      </c>
      <c r="C2" s="14" t="s">
        <v>171</v>
      </c>
      <c r="D2" s="14" t="s">
        <v>379</v>
      </c>
      <c r="E2" s="14" t="s">
        <v>380</v>
      </c>
      <c r="F2" s="14" t="s">
        <v>381</v>
      </c>
      <c r="G2" s="14" t="s">
        <v>382</v>
      </c>
      <c r="H2" s="14" t="s">
        <v>383</v>
      </c>
      <c r="I2" s="14" t="s">
        <v>384</v>
      </c>
      <c r="J2" s="14" t="s">
        <v>385</v>
      </c>
    </row>
    <row r="3" customFormat="false" ht="34.5" hidden="false" customHeight="true" outlineLevel="0" collapsed="false">
      <c r="A3" s="43" t="s">
        <v>181</v>
      </c>
      <c r="B3" s="43" t="s">
        <v>386</v>
      </c>
      <c r="C3" s="43" t="s">
        <v>183</v>
      </c>
      <c r="D3" s="43" t="s">
        <v>387</v>
      </c>
      <c r="E3" s="43" t="s">
        <v>388</v>
      </c>
      <c r="F3" s="43" t="s">
        <v>389</v>
      </c>
      <c r="G3" s="43" t="n">
        <f aca="false">1.5</f>
        <v>1.5</v>
      </c>
      <c r="H3" s="44" t="s">
        <v>185</v>
      </c>
      <c r="I3" s="44" t="s">
        <v>390</v>
      </c>
      <c r="J3" s="43" t="s">
        <v>188</v>
      </c>
    </row>
    <row r="4" customFormat="false" ht="34.5" hidden="false" customHeight="true" outlineLevel="0" collapsed="false">
      <c r="A4" s="45" t="s">
        <v>191</v>
      </c>
      <c r="B4" s="45" t="s">
        <v>391</v>
      </c>
      <c r="C4" s="45" t="s">
        <v>183</v>
      </c>
      <c r="D4" s="45" t="s">
        <v>387</v>
      </c>
      <c r="E4" s="45" t="s">
        <v>388</v>
      </c>
      <c r="F4" s="45" t="s">
        <v>389</v>
      </c>
      <c r="G4" s="45" t="n">
        <f aca="false">1.5</f>
        <v>1.5</v>
      </c>
      <c r="H4" s="44" t="s">
        <v>185</v>
      </c>
      <c r="I4" s="44" t="s">
        <v>390</v>
      </c>
      <c r="J4" s="45" t="s">
        <v>188</v>
      </c>
    </row>
    <row r="5" customFormat="false" ht="34.5" hidden="false" customHeight="true" outlineLevel="0" collapsed="false">
      <c r="A5" s="43" t="s">
        <v>196</v>
      </c>
      <c r="B5" s="43" t="s">
        <v>392</v>
      </c>
      <c r="C5" s="43" t="s">
        <v>198</v>
      </c>
      <c r="D5" s="43" t="s">
        <v>387</v>
      </c>
      <c r="E5" s="43" t="s">
        <v>388</v>
      </c>
      <c r="F5" s="43" t="s">
        <v>393</v>
      </c>
      <c r="G5" s="43" t="n">
        <f aca="false">1.67</f>
        <v>1.67</v>
      </c>
      <c r="H5" s="46" t="s">
        <v>186</v>
      </c>
      <c r="I5" s="47" t="s">
        <v>394</v>
      </c>
      <c r="J5" s="43" t="s">
        <v>201</v>
      </c>
    </row>
    <row r="6" customFormat="false" ht="34.5" hidden="false" customHeight="true" outlineLevel="0" collapsed="false">
      <c r="A6" s="45" t="s">
        <v>205</v>
      </c>
      <c r="B6" s="45" t="s">
        <v>395</v>
      </c>
      <c r="C6" s="45" t="s">
        <v>198</v>
      </c>
      <c r="D6" s="45" t="s">
        <v>387</v>
      </c>
      <c r="E6" s="45" t="s">
        <v>388</v>
      </c>
      <c r="F6" s="45" t="s">
        <v>393</v>
      </c>
      <c r="G6" s="45" t="n">
        <f aca="false">1.67</f>
        <v>1.67</v>
      </c>
      <c r="H6" s="46" t="s">
        <v>186</v>
      </c>
      <c r="I6" s="47" t="s">
        <v>394</v>
      </c>
      <c r="J6" s="45" t="s">
        <v>201</v>
      </c>
    </row>
    <row r="7" customFormat="false" ht="34.5" hidden="false" customHeight="true" outlineLevel="0" collapsed="false">
      <c r="A7" s="43" t="s">
        <v>210</v>
      </c>
      <c r="B7" s="43" t="s">
        <v>213</v>
      </c>
      <c r="C7" s="43" t="s">
        <v>198</v>
      </c>
      <c r="D7" s="43" t="s">
        <v>396</v>
      </c>
      <c r="E7" s="43" t="s">
        <v>388</v>
      </c>
      <c r="F7" s="43" t="s">
        <v>397</v>
      </c>
      <c r="G7" s="43" t="n">
        <f aca="false">1.33</f>
        <v>1.33</v>
      </c>
      <c r="H7" s="48" t="s">
        <v>398</v>
      </c>
      <c r="I7" s="48" t="s">
        <v>399</v>
      </c>
      <c r="J7" s="43" t="s">
        <v>215</v>
      </c>
    </row>
    <row r="8" customFormat="false" ht="34.5" hidden="false" customHeight="true" outlineLevel="0" collapsed="false">
      <c r="A8" s="45" t="s">
        <v>219</v>
      </c>
      <c r="B8" s="45" t="s">
        <v>400</v>
      </c>
      <c r="C8" s="45" t="s">
        <v>221</v>
      </c>
      <c r="D8" s="45" t="s">
        <v>396</v>
      </c>
      <c r="E8" s="45" t="s">
        <v>388</v>
      </c>
      <c r="F8" s="45" t="s">
        <v>389</v>
      </c>
      <c r="G8" s="45" t="n">
        <f aca="false">1.5</f>
        <v>1.5</v>
      </c>
      <c r="H8" s="46" t="s">
        <v>186</v>
      </c>
      <c r="I8" s="46" t="s">
        <v>401</v>
      </c>
      <c r="J8" s="45" t="s">
        <v>224</v>
      </c>
    </row>
    <row r="9" customFormat="false" ht="34.5" hidden="false" customHeight="true" outlineLevel="0" collapsed="false">
      <c r="A9" s="43" t="s">
        <v>228</v>
      </c>
      <c r="B9" s="43" t="s">
        <v>230</v>
      </c>
      <c r="C9" s="43" t="s">
        <v>221</v>
      </c>
      <c r="D9" s="43" t="s">
        <v>396</v>
      </c>
      <c r="E9" s="43" t="s">
        <v>388</v>
      </c>
      <c r="F9" s="43" t="s">
        <v>402</v>
      </c>
      <c r="G9" s="43" t="n">
        <f aca="false">1.5</f>
        <v>1.5</v>
      </c>
      <c r="H9" s="46" t="s">
        <v>186</v>
      </c>
      <c r="I9" s="46" t="s">
        <v>401</v>
      </c>
      <c r="J9" s="43" t="s">
        <v>224</v>
      </c>
    </row>
    <row r="10" customFormat="false" ht="34.5" hidden="false" customHeight="true" outlineLevel="0" collapsed="false">
      <c r="A10" s="45" t="s">
        <v>233</v>
      </c>
      <c r="B10" s="45" t="s">
        <v>236</v>
      </c>
      <c r="C10" s="45" t="s">
        <v>235</v>
      </c>
      <c r="D10" s="45" t="s">
        <v>212</v>
      </c>
      <c r="E10" s="45" t="s">
        <v>388</v>
      </c>
      <c r="F10" s="45" t="s">
        <v>389</v>
      </c>
      <c r="G10" s="45" t="n">
        <f aca="false">1.5</f>
        <v>1.5</v>
      </c>
      <c r="H10" s="46" t="s">
        <v>186</v>
      </c>
      <c r="I10" s="49" t="s">
        <v>403</v>
      </c>
      <c r="J10" s="45" t="s">
        <v>224</v>
      </c>
    </row>
    <row r="11" customFormat="false" ht="34.5" hidden="false" customHeight="true" outlineLevel="0" collapsed="false">
      <c r="A11" s="43" t="s">
        <v>241</v>
      </c>
      <c r="B11" s="43" t="s">
        <v>243</v>
      </c>
      <c r="C11" s="43" t="s">
        <v>235</v>
      </c>
      <c r="D11" s="43" t="s">
        <v>396</v>
      </c>
      <c r="E11" s="43" t="s">
        <v>388</v>
      </c>
      <c r="F11" s="43" t="s">
        <v>404</v>
      </c>
      <c r="G11" s="43" t="n">
        <f aca="false">1.67</f>
        <v>1.67</v>
      </c>
      <c r="H11" s="46" t="s">
        <v>186</v>
      </c>
      <c r="I11" s="46" t="s">
        <v>401</v>
      </c>
      <c r="J11" s="43" t="s">
        <v>224</v>
      </c>
    </row>
    <row r="12" customFormat="false" ht="34.5" hidden="false" customHeight="true" outlineLevel="0" collapsed="false">
      <c r="A12" s="45" t="s">
        <v>246</v>
      </c>
      <c r="B12" s="45" t="s">
        <v>249</v>
      </c>
      <c r="C12" s="45" t="s">
        <v>248</v>
      </c>
      <c r="D12" s="45" t="s">
        <v>183</v>
      </c>
      <c r="E12" s="45" t="s">
        <v>388</v>
      </c>
      <c r="F12" s="45" t="s">
        <v>389</v>
      </c>
      <c r="G12" s="45" t="n">
        <f aca="false">1.5</f>
        <v>1.5</v>
      </c>
      <c r="H12" s="46" t="s">
        <v>186</v>
      </c>
      <c r="I12" s="50" t="s">
        <v>405</v>
      </c>
      <c r="J12" s="45" t="s">
        <v>251</v>
      </c>
    </row>
    <row r="13" customFormat="false" ht="34.5" hidden="false" customHeight="true" outlineLevel="0" collapsed="false">
      <c r="A13" s="43" t="s">
        <v>255</v>
      </c>
      <c r="B13" s="43" t="s">
        <v>406</v>
      </c>
      <c r="C13" s="43" t="s">
        <v>257</v>
      </c>
      <c r="D13" s="43" t="s">
        <v>198</v>
      </c>
      <c r="E13" s="43" t="s">
        <v>388</v>
      </c>
      <c r="F13" s="43" t="s">
        <v>407</v>
      </c>
      <c r="G13" s="43" t="n">
        <f aca="false">1.33</f>
        <v>1.33</v>
      </c>
      <c r="H13" s="46" t="s">
        <v>186</v>
      </c>
      <c r="I13" s="50" t="s">
        <v>405</v>
      </c>
      <c r="J13" s="43" t="s">
        <v>260</v>
      </c>
    </row>
    <row r="14" customFormat="false" ht="34.5" hidden="false" customHeight="true" outlineLevel="0" collapsed="false">
      <c r="A14" s="45" t="s">
        <v>264</v>
      </c>
      <c r="B14" s="45" t="s">
        <v>266</v>
      </c>
      <c r="C14" s="45" t="s">
        <v>221</v>
      </c>
      <c r="D14" s="45" t="s">
        <v>396</v>
      </c>
      <c r="E14" s="45" t="s">
        <v>388</v>
      </c>
      <c r="F14" s="45" t="s">
        <v>389</v>
      </c>
      <c r="G14" s="45" t="n">
        <f aca="false">1.5</f>
        <v>1.5</v>
      </c>
      <c r="H14" s="46" t="s">
        <v>186</v>
      </c>
      <c r="I14" s="46" t="s">
        <v>401</v>
      </c>
      <c r="J14" s="45" t="s">
        <v>260</v>
      </c>
    </row>
    <row r="15" customFormat="false" ht="34.5" hidden="false" customHeight="true" outlineLevel="0" collapsed="false">
      <c r="A15" s="43" t="s">
        <v>269</v>
      </c>
      <c r="B15" s="43" t="s">
        <v>271</v>
      </c>
      <c r="C15" s="43" t="s">
        <v>221</v>
      </c>
      <c r="D15" s="43" t="s">
        <v>396</v>
      </c>
      <c r="E15" s="43" t="s">
        <v>388</v>
      </c>
      <c r="F15" s="43" t="s">
        <v>402</v>
      </c>
      <c r="G15" s="43" t="n">
        <f aca="false">1.5</f>
        <v>1.5</v>
      </c>
      <c r="H15" s="46" t="s">
        <v>186</v>
      </c>
      <c r="I15" s="46" t="s">
        <v>401</v>
      </c>
      <c r="J15" s="43" t="s">
        <v>260</v>
      </c>
    </row>
    <row r="16" customFormat="false" ht="34.5" hidden="false" customHeight="true" outlineLevel="0" collapsed="false">
      <c r="A16" s="45" t="s">
        <v>274</v>
      </c>
      <c r="B16" s="45" t="s">
        <v>408</v>
      </c>
      <c r="C16" s="45" t="s">
        <v>276</v>
      </c>
      <c r="D16" s="45" t="s">
        <v>221</v>
      </c>
      <c r="E16" s="45" t="s">
        <v>388</v>
      </c>
      <c r="F16" s="45" t="s">
        <v>389</v>
      </c>
      <c r="G16" s="45" t="n">
        <f aca="false">1.5</f>
        <v>1.5</v>
      </c>
      <c r="H16" s="46" t="s">
        <v>186</v>
      </c>
      <c r="I16" s="50" t="s">
        <v>405</v>
      </c>
      <c r="J16" s="45" t="s">
        <v>260</v>
      </c>
    </row>
    <row r="18" customFormat="false" ht="21.75" hidden="false" customHeight="true" outlineLevel="0" collapsed="false">
      <c r="A18" s="51" t="s">
        <v>409</v>
      </c>
      <c r="B18" s="51"/>
      <c r="C18" s="52" t="s">
        <v>410</v>
      </c>
      <c r="D18" s="52"/>
      <c r="E18" s="52"/>
      <c r="F18" s="52"/>
      <c r="G18" s="52"/>
      <c r="H18" s="52"/>
      <c r="I18" s="52"/>
      <c r="J18" s="52"/>
    </row>
    <row r="19" customFormat="false" ht="21.75" hidden="false" customHeight="true" outlineLevel="0" collapsed="false">
      <c r="C19" s="52" t="s">
        <v>411</v>
      </c>
      <c r="D19" s="52"/>
      <c r="E19" s="52"/>
      <c r="F19" s="52"/>
      <c r="G19" s="52"/>
      <c r="H19" s="52"/>
      <c r="I19" s="52"/>
      <c r="J19" s="52"/>
    </row>
    <row r="20" customFormat="false" ht="21.75" hidden="false" customHeight="true" outlineLevel="0" collapsed="false">
      <c r="C20" s="52" t="s">
        <v>412</v>
      </c>
      <c r="D20" s="52"/>
      <c r="E20" s="52"/>
      <c r="F20" s="52"/>
      <c r="G20" s="52"/>
      <c r="H20" s="52"/>
      <c r="I20" s="52"/>
      <c r="J20" s="52"/>
    </row>
    <row r="21" customFormat="false" ht="21.75" hidden="false" customHeight="true" outlineLevel="0" collapsed="false">
      <c r="C21" s="52" t="s">
        <v>413</v>
      </c>
      <c r="D21" s="52"/>
      <c r="E21" s="52"/>
      <c r="F21" s="52"/>
      <c r="G21" s="52"/>
      <c r="H21" s="52"/>
      <c r="I21" s="52"/>
      <c r="J21" s="52"/>
    </row>
    <row r="22" customFormat="false" ht="21.75" hidden="false" customHeight="true" outlineLevel="0" collapsed="false">
      <c r="C22" s="52" t="s">
        <v>414</v>
      </c>
      <c r="D22" s="52"/>
      <c r="E22" s="52"/>
      <c r="F22" s="52"/>
      <c r="G22" s="52"/>
      <c r="H22" s="52"/>
      <c r="I22" s="52"/>
      <c r="J22" s="52"/>
    </row>
    <row r="23" customFormat="false" ht="21.75" hidden="false" customHeight="true" outlineLevel="0" collapsed="false">
      <c r="C23" s="52" t="s">
        <v>415</v>
      </c>
      <c r="D23" s="52"/>
      <c r="E23" s="52"/>
      <c r="F23" s="52"/>
      <c r="G23" s="52"/>
      <c r="H23" s="52"/>
      <c r="I23" s="52"/>
      <c r="J23" s="52"/>
    </row>
  </sheetData>
  <mergeCells count="8">
    <mergeCell ref="A1:J1"/>
    <mergeCell ref="A18:B18"/>
    <mergeCell ref="C18:J18"/>
    <mergeCell ref="C19:J19"/>
    <mergeCell ref="C20:J20"/>
    <mergeCell ref="C21:J21"/>
    <mergeCell ref="C22:J22"/>
    <mergeCell ref="C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53" t="s">
        <v>416</v>
      </c>
      <c r="B1" s="53"/>
    </row>
    <row r="2" customFormat="false" ht="13.5" hidden="false" customHeight="true" outlineLevel="0" collapsed="false">
      <c r="A2" s="54" t="s">
        <v>387</v>
      </c>
      <c r="B2" s="55" t="s">
        <v>417</v>
      </c>
    </row>
    <row r="3" customFormat="false" ht="13.5" hidden="false" customHeight="true" outlineLevel="0" collapsed="false">
      <c r="A3" s="54" t="s">
        <v>396</v>
      </c>
      <c r="B3" s="55" t="s">
        <v>418</v>
      </c>
    </row>
    <row r="4" customFormat="false" ht="13.5" hidden="false" customHeight="true" outlineLevel="0" collapsed="false">
      <c r="A4" s="54" t="s">
        <v>212</v>
      </c>
      <c r="B4" s="55" t="s">
        <v>419</v>
      </c>
    </row>
    <row r="5" customFormat="false" ht="13.5" hidden="false" customHeight="true" outlineLevel="0" collapsed="false">
      <c r="A5" s="54" t="s">
        <v>183</v>
      </c>
      <c r="B5" s="55"/>
    </row>
    <row r="6" customFormat="false" ht="13.5" hidden="false" customHeight="true" outlineLevel="0" collapsed="false">
      <c r="A6" s="54" t="s">
        <v>420</v>
      </c>
      <c r="B6" s="55" t="s">
        <v>421</v>
      </c>
    </row>
    <row r="7" customFormat="false" ht="13.5" hidden="false" customHeight="true" outlineLevel="0" collapsed="false">
      <c r="A7" s="54" t="s">
        <v>198</v>
      </c>
      <c r="B7" s="55" t="s">
        <v>422</v>
      </c>
    </row>
    <row r="8" customFormat="false" ht="13.5" hidden="false" customHeight="true" outlineLevel="0" collapsed="false">
      <c r="A8" s="54" t="s">
        <v>423</v>
      </c>
      <c r="B8" s="55" t="s">
        <v>424</v>
      </c>
    </row>
    <row r="9" customFormat="false" ht="13.5" hidden="false" customHeight="true" outlineLevel="0" collapsed="false">
      <c r="A9" s="54" t="s">
        <v>221</v>
      </c>
      <c r="B9" s="55"/>
    </row>
    <row r="10" customFormat="false" ht="13.5" hidden="false" customHeight="true" outlineLevel="0" collapsed="false">
      <c r="A10" s="54" t="s">
        <v>425</v>
      </c>
      <c r="B10" s="55" t="s">
        <v>426</v>
      </c>
    </row>
    <row r="11" customFormat="false" ht="13.5" hidden="false" customHeight="true" outlineLevel="0" collapsed="false">
      <c r="A11" s="54" t="s">
        <v>427</v>
      </c>
      <c r="B11" s="55" t="s">
        <v>428</v>
      </c>
    </row>
    <row r="12" customFormat="false" ht="13.5" hidden="false" customHeight="true" outlineLevel="0" collapsed="false">
      <c r="A12" s="54" t="s">
        <v>429</v>
      </c>
      <c r="B12" s="55" t="s">
        <v>430</v>
      </c>
    </row>
    <row r="13" customFormat="false" ht="13.5" hidden="false" customHeight="true" outlineLevel="0" collapsed="false">
      <c r="A13" s="54" t="s">
        <v>235</v>
      </c>
      <c r="B13" s="55" t="s">
        <v>431</v>
      </c>
    </row>
    <row r="14" customFormat="false" ht="13.5" hidden="false" customHeight="true" outlineLevel="0" collapsed="false">
      <c r="A14" s="54" t="s">
        <v>432</v>
      </c>
      <c r="B14" s="55"/>
    </row>
    <row r="15" customFormat="false" ht="13.5" hidden="false" customHeight="true" outlineLevel="0" collapsed="false">
      <c r="A15" s="54" t="s">
        <v>433</v>
      </c>
      <c r="B15" s="55" t="s">
        <v>434</v>
      </c>
    </row>
    <row r="16" customFormat="false" ht="13.5" hidden="false" customHeight="true" outlineLevel="0" collapsed="false">
      <c r="A16" s="54" t="s">
        <v>435</v>
      </c>
      <c r="B16" s="55" t="s">
        <v>436</v>
      </c>
    </row>
    <row r="17" customFormat="false" ht="13.5" hidden="false" customHeight="true" outlineLevel="0" collapsed="false">
      <c r="A17" s="54" t="s">
        <v>248</v>
      </c>
      <c r="B17" s="55" t="s">
        <v>437</v>
      </c>
    </row>
    <row r="18" customFormat="false" ht="13.5" hidden="false" customHeight="true" outlineLevel="0" collapsed="false">
      <c r="A18" s="54" t="s">
        <v>438</v>
      </c>
      <c r="B18" s="55" t="s">
        <v>439</v>
      </c>
    </row>
    <row r="19" customFormat="false" ht="13.5" hidden="false" customHeight="true" outlineLevel="0" collapsed="false">
      <c r="A19" s="54" t="s">
        <v>257</v>
      </c>
      <c r="B19" s="55" t="s">
        <v>440</v>
      </c>
    </row>
    <row r="20" customFormat="false" ht="13.5" hidden="false" customHeight="true" outlineLevel="0" collapsed="false">
      <c r="A20" s="54" t="s">
        <v>441</v>
      </c>
      <c r="B20" s="55" t="s">
        <v>442</v>
      </c>
    </row>
    <row r="21" customFormat="false" ht="13.5" hidden="false" customHeight="true" outlineLevel="0" collapsed="false">
      <c r="A21" s="54" t="s">
        <v>443</v>
      </c>
      <c r="B21" s="55" t="s">
        <v>444</v>
      </c>
    </row>
    <row r="22" customFormat="false" ht="13.5" hidden="false" customHeight="true" outlineLevel="0" collapsed="false">
      <c r="A22" s="54" t="s">
        <v>445</v>
      </c>
      <c r="B22" s="55" t="s">
        <v>446</v>
      </c>
    </row>
    <row r="23" customFormat="false" ht="13.5" hidden="false" customHeight="true" outlineLevel="0" collapsed="false">
      <c r="A23" s="54" t="s">
        <v>447</v>
      </c>
      <c r="B23" s="55" t="s">
        <v>448</v>
      </c>
    </row>
    <row r="24" customFormat="false" ht="13.5" hidden="false" customHeight="true" outlineLevel="0" collapsed="false">
      <c r="A24" s="54" t="s">
        <v>449</v>
      </c>
      <c r="B24" s="55"/>
    </row>
    <row r="25" customFormat="false" ht="13.5" hidden="false" customHeight="true" outlineLevel="0" collapsed="false">
      <c r="A25" s="54" t="s">
        <v>450</v>
      </c>
      <c r="B25" s="55" t="s">
        <v>451</v>
      </c>
    </row>
    <row r="26" customFormat="false" ht="13.5" hidden="false" customHeight="true" outlineLevel="0" collapsed="false">
      <c r="A26" s="54" t="s">
        <v>452</v>
      </c>
      <c r="B26" s="55" t="s">
        <v>453</v>
      </c>
    </row>
    <row r="27" customFormat="false" ht="13.5" hidden="false" customHeight="true" outlineLevel="0" collapsed="false">
      <c r="A27" s="54" t="s">
        <v>454</v>
      </c>
      <c r="B27" s="55" t="s">
        <v>455</v>
      </c>
    </row>
    <row r="28" customFormat="false" ht="13.5" hidden="false" customHeight="true" outlineLevel="0" collapsed="false">
      <c r="A28" s="54" t="s">
        <v>456</v>
      </c>
      <c r="B28" s="55" t="s">
        <v>457</v>
      </c>
    </row>
    <row r="29" customFormat="false" ht="13.5" hidden="false" customHeight="true" outlineLevel="0" collapsed="false">
      <c r="A29" s="54" t="s">
        <v>458</v>
      </c>
      <c r="B29" s="55" t="s">
        <v>459</v>
      </c>
    </row>
    <row r="30" customFormat="false" ht="13.5" hidden="false" customHeight="true" outlineLevel="0" collapsed="false">
      <c r="A30" s="54" t="s">
        <v>460</v>
      </c>
      <c r="B30" s="55" t="s">
        <v>461</v>
      </c>
    </row>
    <row r="31" customFormat="false" ht="13.5" hidden="false" customHeight="true" outlineLevel="0" collapsed="false">
      <c r="A31" s="54" t="s">
        <v>462</v>
      </c>
      <c r="B31" s="55" t="s">
        <v>463</v>
      </c>
    </row>
    <row r="32" customFormat="false" ht="13.5" hidden="false" customHeight="true" outlineLevel="0" collapsed="false">
      <c r="A32" s="54" t="s">
        <v>464</v>
      </c>
      <c r="B32" s="55"/>
    </row>
    <row r="33" customFormat="false" ht="13.5" hidden="false" customHeight="true" outlineLevel="0" collapsed="false">
      <c r="A33" s="54" t="s">
        <v>276</v>
      </c>
      <c r="B33" s="55" t="s">
        <v>465</v>
      </c>
    </row>
    <row r="34" customFormat="false" ht="13.5" hidden="false" customHeight="true" outlineLevel="0" collapsed="false">
      <c r="A34" s="54" t="s">
        <v>466</v>
      </c>
      <c r="B34" s="55" t="s">
        <v>467</v>
      </c>
    </row>
    <row r="35" customFormat="false" ht="13.5" hidden="false" customHeight="true" outlineLevel="0" collapsed="false">
      <c r="A35" s="54" t="s">
        <v>468</v>
      </c>
      <c r="B35" s="55" t="s">
        <v>469</v>
      </c>
    </row>
    <row r="36" customFormat="false" ht="13.5" hidden="false" customHeight="true" outlineLevel="0" collapsed="false">
      <c r="A36" s="54" t="s">
        <v>470</v>
      </c>
      <c r="B36" s="55" t="s">
        <v>471</v>
      </c>
    </row>
    <row r="37" customFormat="false" ht="13.5" hidden="false" customHeight="true" outlineLevel="0" collapsed="false">
      <c r="A37" s="54" t="s">
        <v>472</v>
      </c>
      <c r="B37" s="55" t="s">
        <v>473</v>
      </c>
    </row>
    <row r="38" customFormat="false" ht="13.5" hidden="false" customHeight="true" outlineLevel="0" collapsed="false">
      <c r="A38" s="54" t="s">
        <v>474</v>
      </c>
      <c r="B38" s="55"/>
    </row>
    <row r="39" customFormat="false" ht="13.5" hidden="false" customHeight="true" outlineLevel="0" collapsed="false">
      <c r="A39" s="54" t="s">
        <v>475</v>
      </c>
      <c r="B39" s="55" t="s">
        <v>476</v>
      </c>
    </row>
    <row r="40" customFormat="false" ht="13.5" hidden="false" customHeight="true" outlineLevel="0" collapsed="false">
      <c r="A40" s="54" t="s">
        <v>477</v>
      </c>
      <c r="B40" s="55" t="s">
        <v>478</v>
      </c>
    </row>
    <row r="41" customFormat="false" ht="13.5" hidden="false" customHeight="true" outlineLevel="0" collapsed="false">
      <c r="A41" s="54" t="s">
        <v>479</v>
      </c>
      <c r="B41" s="55" t="s">
        <v>480</v>
      </c>
    </row>
    <row r="42" customFormat="false" ht="13.5" hidden="false" customHeight="true" outlineLevel="0" collapsed="false">
      <c r="A42" s="54" t="s">
        <v>481</v>
      </c>
      <c r="B42" s="55" t="s">
        <v>482</v>
      </c>
    </row>
    <row r="43" customFormat="false" ht="13.5" hidden="false" customHeight="true" outlineLevel="0" collapsed="false">
      <c r="A43" s="54" t="s">
        <v>483</v>
      </c>
      <c r="B43" s="55"/>
    </row>
    <row r="44" customFormat="false" ht="13.5" hidden="false" customHeight="true" outlineLevel="0" collapsed="false">
      <c r="A44" s="54" t="s">
        <v>484</v>
      </c>
      <c r="B44" s="55" t="s">
        <v>485</v>
      </c>
    </row>
    <row r="45" customFormat="false" ht="13.5" hidden="false" customHeight="true" outlineLevel="0" collapsed="false">
      <c r="A45" s="54" t="s">
        <v>486</v>
      </c>
      <c r="B45" s="55" t="s">
        <v>487</v>
      </c>
    </row>
    <row r="46" customFormat="false" ht="13.5" hidden="false" customHeight="true" outlineLevel="0" collapsed="false">
      <c r="A46" s="54" t="s">
        <v>488</v>
      </c>
      <c r="B46" s="55" t="s">
        <v>489</v>
      </c>
    </row>
    <row r="47" customFormat="false" ht="13.5" hidden="false" customHeight="true" outlineLevel="0" collapsed="false">
      <c r="A47" s="54" t="s">
        <v>490</v>
      </c>
      <c r="B47" s="55"/>
    </row>
    <row r="48" customFormat="false" ht="13.5" hidden="false" customHeight="true" outlineLevel="0" collapsed="false">
      <c r="A48" s="54" t="s">
        <v>491</v>
      </c>
      <c r="B48" s="55" t="s">
        <v>492</v>
      </c>
    </row>
    <row r="49" customFormat="false" ht="13.5" hidden="false" customHeight="true" outlineLevel="0" collapsed="false">
      <c r="A49" s="54" t="s">
        <v>493</v>
      </c>
      <c r="B49" s="55" t="s">
        <v>494</v>
      </c>
    </row>
    <row r="50" customFormat="false" ht="13.5" hidden="false" customHeight="true" outlineLevel="0" collapsed="false">
      <c r="A50" s="54" t="s">
        <v>495</v>
      </c>
      <c r="B50" s="55"/>
    </row>
    <row r="51" customFormat="false" ht="13.5" hidden="false" customHeight="true" outlineLevel="0" collapsed="false">
      <c r="A51" s="54" t="s">
        <v>496</v>
      </c>
      <c r="B51" s="55" t="s">
        <v>497</v>
      </c>
    </row>
    <row r="52" customFormat="false" ht="13.5" hidden="false" customHeight="true" outlineLevel="0" collapsed="false">
      <c r="A52" s="54" t="s">
        <v>498</v>
      </c>
      <c r="B52" s="55" t="s">
        <v>499</v>
      </c>
    </row>
    <row r="53" customFormat="false" ht="13.5" hidden="false" customHeight="true" outlineLevel="0" collapsed="false">
      <c r="A53" s="54" t="s">
        <v>500</v>
      </c>
      <c r="B53" s="55" t="s">
        <v>501</v>
      </c>
    </row>
    <row r="54" customFormat="false" ht="13.5" hidden="false" customHeight="true" outlineLevel="0" collapsed="false">
      <c r="A54" s="54" t="s">
        <v>502</v>
      </c>
      <c r="B54" s="55" t="s">
        <v>503</v>
      </c>
    </row>
    <row r="55" customFormat="false" ht="13.5" hidden="false" customHeight="true" outlineLevel="0" collapsed="false">
      <c r="A55" s="54" t="s">
        <v>504</v>
      </c>
      <c r="B55" s="55" t="s">
        <v>505</v>
      </c>
    </row>
    <row r="56" customFormat="false" ht="13.5" hidden="false" customHeight="true" outlineLevel="0" collapsed="false">
      <c r="A56" s="54" t="s">
        <v>506</v>
      </c>
      <c r="B56" s="55" t="s">
        <v>507</v>
      </c>
    </row>
    <row r="57" customFormat="false" ht="13.5" hidden="false" customHeight="true" outlineLevel="0" collapsed="false">
      <c r="A57" s="54" t="s">
        <v>508</v>
      </c>
      <c r="B57" s="55" t="s">
        <v>509</v>
      </c>
    </row>
    <row r="58" customFormat="false" ht="13.5" hidden="false" customHeight="true" outlineLevel="0" collapsed="false">
      <c r="A58" s="54" t="s">
        <v>510</v>
      </c>
      <c r="B58" s="55" t="s">
        <v>511</v>
      </c>
    </row>
    <row r="59" customFormat="false" ht="13.5" hidden="false" customHeight="true" outlineLevel="0" collapsed="false">
      <c r="A59" s="54" t="s">
        <v>512</v>
      </c>
      <c r="B59" s="55" t="s">
        <v>513</v>
      </c>
    </row>
    <row r="60" customFormat="false" ht="13.5" hidden="false" customHeight="true" outlineLevel="0" collapsed="false">
      <c r="A60" s="54" t="s">
        <v>514</v>
      </c>
      <c r="B60" s="55" t="s">
        <v>515</v>
      </c>
    </row>
    <row r="61" customFormat="false" ht="13.5" hidden="false" customHeight="true" outlineLevel="0" collapsed="false">
      <c r="A61" s="54" t="s">
        <v>516</v>
      </c>
      <c r="B61" s="55" t="s">
        <v>517</v>
      </c>
    </row>
    <row r="62" customFormat="false" ht="13.5" hidden="false" customHeight="true" outlineLevel="0" collapsed="false">
      <c r="A62" s="54" t="s">
        <v>518</v>
      </c>
      <c r="B62" s="55" t="s">
        <v>519</v>
      </c>
    </row>
    <row r="63" customFormat="false" ht="13.5" hidden="false" customHeight="true" outlineLevel="0" collapsed="false">
      <c r="A63" s="54" t="s">
        <v>520</v>
      </c>
      <c r="B63" s="55" t="s">
        <v>521</v>
      </c>
    </row>
    <row r="64" customFormat="false" ht="13.5" hidden="false" customHeight="true" outlineLevel="0" collapsed="false">
      <c r="A64" s="54" t="s">
        <v>522</v>
      </c>
      <c r="B64" s="55" t="s">
        <v>523</v>
      </c>
    </row>
    <row r="65" customFormat="false" ht="13.5" hidden="false" customHeight="true" outlineLevel="0" collapsed="false">
      <c r="A65" s="54" t="s">
        <v>524</v>
      </c>
      <c r="B65" s="55" t="s">
        <v>525</v>
      </c>
    </row>
    <row r="66" customFormat="false" ht="13.5" hidden="false" customHeight="true" outlineLevel="0" collapsed="false">
      <c r="A66" s="54" t="s">
        <v>526</v>
      </c>
      <c r="B66" s="55"/>
    </row>
    <row r="67" customFormat="false" ht="13.5" hidden="false" customHeight="true" outlineLevel="0" collapsed="false">
      <c r="A67" s="54" t="s">
        <v>527</v>
      </c>
      <c r="B67" s="55" t="s">
        <v>528</v>
      </c>
    </row>
    <row r="68" customFormat="false" ht="13.5" hidden="false" customHeight="true" outlineLevel="0" collapsed="false">
      <c r="A68" s="54" t="s">
        <v>529</v>
      </c>
      <c r="B68" s="55"/>
    </row>
    <row r="69" customFormat="false" ht="13.5" hidden="false" customHeight="true" outlineLevel="0" collapsed="false">
      <c r="A69" s="54" t="s">
        <v>530</v>
      </c>
      <c r="B69" s="55" t="s">
        <v>531</v>
      </c>
    </row>
    <row r="70" customFormat="false" ht="13.5" hidden="false" customHeight="true" outlineLevel="0" collapsed="false">
      <c r="A70" s="54" t="s">
        <v>532</v>
      </c>
      <c r="B70" s="55" t="s">
        <v>533</v>
      </c>
    </row>
    <row r="71" customFormat="false" ht="13.5" hidden="false" customHeight="true" outlineLevel="0" collapsed="false">
      <c r="A71" s="54" t="s">
        <v>534</v>
      </c>
      <c r="B71" s="55" t="s">
        <v>535</v>
      </c>
    </row>
    <row r="72" customFormat="false" ht="13.5" hidden="false" customHeight="true" outlineLevel="0" collapsed="false">
      <c r="A72" s="54" t="s">
        <v>536</v>
      </c>
      <c r="B72" s="55" t="s">
        <v>537</v>
      </c>
    </row>
    <row r="73" customFormat="false" ht="13.5" hidden="false" customHeight="true" outlineLevel="0" collapsed="false">
      <c r="A73" s="54" t="s">
        <v>538</v>
      </c>
      <c r="B73" s="55" t="s">
        <v>539</v>
      </c>
    </row>
    <row r="74" customFormat="false" ht="13.5" hidden="false" customHeight="true" outlineLevel="0" collapsed="false">
      <c r="A74" s="54" t="s">
        <v>540</v>
      </c>
      <c r="B74" s="55" t="s">
        <v>541</v>
      </c>
    </row>
    <row r="75" customFormat="false" ht="13.5" hidden="false" customHeight="true" outlineLevel="0" collapsed="false">
      <c r="A75" s="54" t="s">
        <v>542</v>
      </c>
      <c r="B75" s="55" t="s">
        <v>543</v>
      </c>
    </row>
    <row r="76" customFormat="false" ht="13.5" hidden="false" customHeight="true" outlineLevel="0" collapsed="false">
      <c r="A76" s="54" t="s">
        <v>544</v>
      </c>
      <c r="B76" s="55" t="s">
        <v>545</v>
      </c>
    </row>
    <row r="77" customFormat="false" ht="13.5" hidden="false" customHeight="true" outlineLevel="0" collapsed="false">
      <c r="A77" s="54" t="s">
        <v>546</v>
      </c>
      <c r="B77" s="55" t="s">
        <v>547</v>
      </c>
    </row>
    <row r="78" customFormat="false" ht="13.5" hidden="false" customHeight="true" outlineLevel="0" collapsed="false">
      <c r="A78" s="54" t="s">
        <v>548</v>
      </c>
      <c r="B78" s="55" t="s">
        <v>549</v>
      </c>
    </row>
    <row r="79" customFormat="false" ht="13.5" hidden="false" customHeight="true" outlineLevel="0" collapsed="false">
      <c r="A79" s="54" t="s">
        <v>550</v>
      </c>
      <c r="B79" s="55" t="s">
        <v>551</v>
      </c>
    </row>
    <row r="80" customFormat="false" ht="13.5" hidden="false" customHeight="true" outlineLevel="0" collapsed="false">
      <c r="A80" s="54" t="s">
        <v>552</v>
      </c>
      <c r="B80" s="55" t="s">
        <v>553</v>
      </c>
    </row>
    <row r="81" customFormat="false" ht="13.5" hidden="false" customHeight="true" outlineLevel="0" collapsed="false">
      <c r="A81" s="54" t="s">
        <v>554</v>
      </c>
      <c r="B81" s="55" t="s">
        <v>555</v>
      </c>
    </row>
    <row r="82" customFormat="false" ht="13.5" hidden="false" customHeight="true" outlineLevel="0" collapsed="false">
      <c r="A82" s="54" t="s">
        <v>556</v>
      </c>
      <c r="B82" s="55"/>
    </row>
    <row r="83" customFormat="false" ht="13.5" hidden="false" customHeight="true" outlineLevel="0" collapsed="false">
      <c r="A83" s="54" t="s">
        <v>557</v>
      </c>
      <c r="B83" s="55" t="s">
        <v>558</v>
      </c>
    </row>
    <row r="84" customFormat="false" ht="13.5" hidden="false" customHeight="true" outlineLevel="0" collapsed="false">
      <c r="A84" s="54" t="s">
        <v>559</v>
      </c>
      <c r="B84" s="55"/>
    </row>
    <row r="85" customFormat="false" ht="13.5" hidden="false" customHeight="true" outlineLevel="0" collapsed="false">
      <c r="A85" s="54" t="s">
        <v>560</v>
      </c>
      <c r="B85" s="55" t="s">
        <v>561</v>
      </c>
    </row>
    <row r="86" customFormat="false" ht="13.5" hidden="false" customHeight="true" outlineLevel="0" collapsed="false">
      <c r="A86" s="54" t="s">
        <v>562</v>
      </c>
      <c r="B86" s="55" t="s">
        <v>563</v>
      </c>
    </row>
    <row r="87" customFormat="false" ht="13.5" hidden="false" customHeight="true" outlineLevel="0" collapsed="false">
      <c r="A87" s="54" t="s">
        <v>564</v>
      </c>
      <c r="B87" s="55" t="s">
        <v>565</v>
      </c>
    </row>
    <row r="88" customFormat="false" ht="13.5" hidden="false" customHeight="true" outlineLevel="0" collapsed="false">
      <c r="A88" s="54" t="s">
        <v>566</v>
      </c>
      <c r="B88" s="55" t="s">
        <v>567</v>
      </c>
    </row>
    <row r="89" customFormat="false" ht="13.5" hidden="false" customHeight="true" outlineLevel="0" collapsed="false">
      <c r="A89" s="54" t="s">
        <v>568</v>
      </c>
      <c r="B89" s="55" t="s">
        <v>537</v>
      </c>
    </row>
    <row r="90" customFormat="false" ht="13.5" hidden="false" customHeight="true" outlineLevel="0" collapsed="false">
      <c r="A90" s="54" t="s">
        <v>569</v>
      </c>
      <c r="B90" s="55" t="s">
        <v>541</v>
      </c>
    </row>
    <row r="91" customFormat="false" ht="13.5" hidden="false" customHeight="true" outlineLevel="0" collapsed="false">
      <c r="A91" s="54" t="s">
        <v>570</v>
      </c>
      <c r="B91" s="55" t="s">
        <v>571</v>
      </c>
    </row>
    <row r="92" customFormat="false" ht="13.5" hidden="false" customHeight="true" outlineLevel="0" collapsed="false">
      <c r="A92" s="54" t="s">
        <v>572</v>
      </c>
      <c r="B92" s="55" t="s">
        <v>573</v>
      </c>
    </row>
    <row r="93" customFormat="false" ht="13.5" hidden="false" customHeight="true" outlineLevel="0" collapsed="false">
      <c r="A93" s="54" t="s">
        <v>574</v>
      </c>
      <c r="B93" s="55" t="s">
        <v>575</v>
      </c>
    </row>
    <row r="94" customFormat="false" ht="13.5" hidden="false" customHeight="true" outlineLevel="0" collapsed="false">
      <c r="A94" s="54" t="s">
        <v>576</v>
      </c>
      <c r="B94" s="55" t="s">
        <v>577</v>
      </c>
    </row>
    <row r="95" customFormat="false" ht="13.5" hidden="false" customHeight="true" outlineLevel="0" collapsed="false">
      <c r="A95" s="54" t="s">
        <v>578</v>
      </c>
      <c r="B95" s="55" t="s">
        <v>579</v>
      </c>
    </row>
    <row r="96" customFormat="false" ht="13.5" hidden="false" customHeight="true" outlineLevel="0" collapsed="false">
      <c r="A96" s="54" t="s">
        <v>580</v>
      </c>
      <c r="B96" s="55" t="s">
        <v>581</v>
      </c>
    </row>
    <row r="97" customFormat="false" ht="13.5" hidden="false" customHeight="true" outlineLevel="0" collapsed="false">
      <c r="A97" s="54" t="s">
        <v>582</v>
      </c>
      <c r="B97" s="55" t="s">
        <v>583</v>
      </c>
    </row>
    <row r="98" customFormat="false" ht="13.5" hidden="false" customHeight="true" outlineLevel="0" collapsed="false">
      <c r="A98" s="54" t="s">
        <v>584</v>
      </c>
      <c r="B98" s="55" t="s">
        <v>551</v>
      </c>
    </row>
    <row r="99" customFormat="false" ht="13.5" hidden="false" customHeight="true" outlineLevel="0" collapsed="false">
      <c r="A99" s="54" t="s">
        <v>585</v>
      </c>
      <c r="B99" s="55" t="s">
        <v>586</v>
      </c>
    </row>
    <row r="100" customFormat="false" ht="13.5" hidden="false" customHeight="true" outlineLevel="0" collapsed="false">
      <c r="A100" s="54" t="s">
        <v>587</v>
      </c>
      <c r="B100" s="55" t="s">
        <v>588</v>
      </c>
    </row>
    <row r="101" customFormat="false" ht="13.5" hidden="false" customHeight="true" outlineLevel="0" collapsed="false">
      <c r="A101" s="54" t="s">
        <v>589</v>
      </c>
      <c r="B101" s="55" t="s">
        <v>590</v>
      </c>
    </row>
    <row r="102" customFormat="false" ht="13.5" hidden="false" customHeight="true" outlineLevel="0" collapsed="false">
      <c r="A102" s="54" t="s">
        <v>591</v>
      </c>
      <c r="B102" s="55" t="s">
        <v>592</v>
      </c>
    </row>
    <row r="103" customFormat="false" ht="13.5" hidden="false" customHeight="true" outlineLevel="0" collapsed="false">
      <c r="A103" s="54" t="s">
        <v>593</v>
      </c>
      <c r="B103" s="55" t="s">
        <v>594</v>
      </c>
    </row>
    <row r="104" customFormat="false" ht="13.5" hidden="false" customHeight="true" outlineLevel="0" collapsed="false">
      <c r="A104" s="54" t="s">
        <v>595</v>
      </c>
      <c r="B104" s="55"/>
    </row>
    <row r="105" customFormat="false" ht="13.5" hidden="false" customHeight="true" outlineLevel="0" collapsed="false">
      <c r="A105" s="54" t="s">
        <v>596</v>
      </c>
      <c r="B105" s="55" t="s">
        <v>597</v>
      </c>
    </row>
    <row r="106" customFormat="false" ht="13.5" hidden="false" customHeight="true" outlineLevel="0" collapsed="false">
      <c r="A106" s="54" t="s">
        <v>598</v>
      </c>
      <c r="B106" s="55" t="s">
        <v>599</v>
      </c>
    </row>
    <row r="107" customFormat="false" ht="13.5" hidden="false" customHeight="true" outlineLevel="0" collapsed="false">
      <c r="A107" s="54" t="s">
        <v>600</v>
      </c>
      <c r="B107" s="55"/>
    </row>
    <row r="108" customFormat="false" ht="13.5" hidden="false" customHeight="true" outlineLevel="0" collapsed="false">
      <c r="A108" s="54" t="s">
        <v>601</v>
      </c>
      <c r="B108" s="55" t="s">
        <v>602</v>
      </c>
    </row>
    <row r="109" customFormat="false" ht="13.5" hidden="false" customHeight="true" outlineLevel="0" collapsed="false">
      <c r="A109" s="54" t="s">
        <v>603</v>
      </c>
      <c r="B109" s="55" t="s">
        <v>604</v>
      </c>
    </row>
    <row r="110" customFormat="false" ht="13.5" hidden="false" customHeight="true" outlineLevel="0" collapsed="false">
      <c r="A110" s="54" t="s">
        <v>605</v>
      </c>
      <c r="B110" s="55" t="s">
        <v>606</v>
      </c>
    </row>
    <row r="111" customFormat="false" ht="13.5" hidden="false" customHeight="true" outlineLevel="0" collapsed="false">
      <c r="A111" s="54" t="s">
        <v>607</v>
      </c>
      <c r="B111" s="55" t="s">
        <v>608</v>
      </c>
    </row>
    <row r="112" customFormat="false" ht="13.5" hidden="false" customHeight="true" outlineLevel="0" collapsed="false">
      <c r="A112" s="54" t="s">
        <v>609</v>
      </c>
      <c r="B112" s="55" t="s">
        <v>610</v>
      </c>
    </row>
    <row r="113" customFormat="false" ht="13.5" hidden="false" customHeight="true" outlineLevel="0" collapsed="false">
      <c r="A113" s="54" t="s">
        <v>611</v>
      </c>
      <c r="B113" s="55" t="s">
        <v>612</v>
      </c>
    </row>
    <row r="114" customFormat="false" ht="13.5" hidden="false" customHeight="true" outlineLevel="0" collapsed="false">
      <c r="A114" s="54" t="s">
        <v>613</v>
      </c>
      <c r="B114" s="55" t="s">
        <v>614</v>
      </c>
    </row>
    <row r="115" customFormat="false" ht="13.5" hidden="false" customHeight="true" outlineLevel="0" collapsed="false">
      <c r="A115" s="54" t="s">
        <v>615</v>
      </c>
      <c r="B115" s="55" t="s">
        <v>616</v>
      </c>
    </row>
    <row r="116" customFormat="false" ht="13.5" hidden="false" customHeight="true" outlineLevel="0" collapsed="false">
      <c r="A116" s="54" t="s">
        <v>617</v>
      </c>
      <c r="B116" s="55"/>
    </row>
    <row r="117" customFormat="false" ht="13.5" hidden="false" customHeight="true" outlineLevel="0" collapsed="false">
      <c r="A117" s="54" t="s">
        <v>618</v>
      </c>
      <c r="B117" s="55" t="s">
        <v>619</v>
      </c>
    </row>
    <row r="118" customFormat="false" ht="13.5" hidden="false" customHeight="true" outlineLevel="0" collapsed="false">
      <c r="A118" s="54" t="s">
        <v>620</v>
      </c>
      <c r="B118" s="55"/>
    </row>
    <row r="119" customFormat="false" ht="13.5" hidden="false" customHeight="true" outlineLevel="0" collapsed="false">
      <c r="A119" s="54" t="s">
        <v>621</v>
      </c>
      <c r="B119" s="55" t="s">
        <v>622</v>
      </c>
    </row>
    <row r="120" customFormat="false" ht="13.5" hidden="false" customHeight="true" outlineLevel="0" collapsed="false">
      <c r="A120" s="54" t="s">
        <v>623</v>
      </c>
      <c r="B120" s="55" t="s">
        <v>624</v>
      </c>
    </row>
    <row r="121" customFormat="false" ht="13.5" hidden="false" customHeight="true" outlineLevel="0" collapsed="false">
      <c r="A121" s="54" t="s">
        <v>625</v>
      </c>
      <c r="B121" s="55" t="s">
        <v>626</v>
      </c>
    </row>
    <row r="122" customFormat="false" ht="13.5" hidden="false" customHeight="true" outlineLevel="0" collapsed="false">
      <c r="A122" s="54" t="s">
        <v>627</v>
      </c>
      <c r="B122" s="55" t="s">
        <v>628</v>
      </c>
    </row>
    <row r="123" customFormat="false" ht="13.5" hidden="false" customHeight="true" outlineLevel="0" collapsed="false">
      <c r="A123" s="54" t="s">
        <v>629</v>
      </c>
      <c r="B123" s="55" t="s">
        <v>630</v>
      </c>
    </row>
    <row r="124" customFormat="false" ht="13.5" hidden="false" customHeight="true" outlineLevel="0" collapsed="false">
      <c r="A124" s="54" t="s">
        <v>631</v>
      </c>
      <c r="B124" s="55" t="s">
        <v>632</v>
      </c>
    </row>
    <row r="125" customFormat="false" ht="13.5" hidden="false" customHeight="true" outlineLevel="0" collapsed="false">
      <c r="A125" s="54" t="s">
        <v>633</v>
      </c>
      <c r="B125" s="55"/>
    </row>
    <row r="126" customFormat="false" ht="13.5" hidden="false" customHeight="true" outlineLevel="0" collapsed="false">
      <c r="A126" s="54" t="s">
        <v>634</v>
      </c>
      <c r="B126" s="55" t="s">
        <v>635</v>
      </c>
    </row>
    <row r="127" customFormat="false" ht="13.5" hidden="false" customHeight="true" outlineLevel="0" collapsed="false">
      <c r="A127" s="54" t="s">
        <v>636</v>
      </c>
      <c r="B127" s="55" t="s">
        <v>637</v>
      </c>
    </row>
    <row r="128" customFormat="false" ht="13.5" hidden="false" customHeight="true" outlineLevel="0" collapsed="false">
      <c r="A128" s="54" t="s">
        <v>638</v>
      </c>
      <c r="B128" s="55" t="s">
        <v>639</v>
      </c>
    </row>
    <row r="129" customFormat="false" ht="13.5" hidden="false" customHeight="true" outlineLevel="0" collapsed="false">
      <c r="A129" s="54" t="s">
        <v>640</v>
      </c>
      <c r="B129" s="55" t="s">
        <v>641</v>
      </c>
    </row>
    <row r="130" customFormat="false" ht="13.5" hidden="false" customHeight="true" outlineLevel="0" collapsed="false">
      <c r="A130" s="54" t="s">
        <v>642</v>
      </c>
      <c r="B130" s="55" t="s">
        <v>643</v>
      </c>
    </row>
    <row r="131" customFormat="false" ht="13.5" hidden="false" customHeight="true" outlineLevel="0" collapsed="false">
      <c r="A131" s="54" t="s">
        <v>644</v>
      </c>
      <c r="B131" s="55"/>
    </row>
    <row r="132" customFormat="false" ht="13.5" hidden="false" customHeight="true" outlineLevel="0" collapsed="false">
      <c r="A132" s="54" t="s">
        <v>645</v>
      </c>
      <c r="B132" s="55" t="s">
        <v>646</v>
      </c>
    </row>
    <row r="133" customFormat="false" ht="13.5" hidden="false" customHeight="true" outlineLevel="0" collapsed="false">
      <c r="A133" s="54" t="s">
        <v>647</v>
      </c>
      <c r="B133" s="55" t="s">
        <v>648</v>
      </c>
    </row>
    <row r="134" customFormat="false" ht="13.5" hidden="false" customHeight="true" outlineLevel="0" collapsed="false">
      <c r="A134" s="54" t="s">
        <v>649</v>
      </c>
      <c r="B134" s="55" t="s">
        <v>650</v>
      </c>
    </row>
    <row r="135" customFormat="false" ht="13.5" hidden="false" customHeight="true" outlineLevel="0" collapsed="false">
      <c r="A135" s="54" t="s">
        <v>651</v>
      </c>
      <c r="B135" s="55" t="s">
        <v>652</v>
      </c>
    </row>
    <row r="136" customFormat="false" ht="13.5" hidden="false" customHeight="true" outlineLevel="0" collapsed="false">
      <c r="A136" s="54" t="s">
        <v>653</v>
      </c>
      <c r="B136" s="55"/>
    </row>
    <row r="137" customFormat="false" ht="13.5" hidden="false" customHeight="true" outlineLevel="0" collapsed="false">
      <c r="A137" s="54" t="s">
        <v>654</v>
      </c>
      <c r="B137" s="55" t="s">
        <v>655</v>
      </c>
    </row>
    <row r="138" customFormat="false" ht="13.5" hidden="false" customHeight="true" outlineLevel="0" collapsed="false">
      <c r="A138" s="54" t="s">
        <v>656</v>
      </c>
      <c r="B138" s="55" t="s">
        <v>657</v>
      </c>
    </row>
    <row r="139" customFormat="false" ht="13.5" hidden="false" customHeight="true" outlineLevel="0" collapsed="false">
      <c r="A139" s="54" t="s">
        <v>658</v>
      </c>
      <c r="B139" s="55"/>
    </row>
    <row r="140" customFormat="false" ht="13.5" hidden="false" customHeight="true" outlineLevel="0" collapsed="false">
      <c r="A140" s="54" t="s">
        <v>659</v>
      </c>
      <c r="B140" s="55" t="s">
        <v>660</v>
      </c>
    </row>
    <row r="141" customFormat="false" ht="13.5" hidden="false" customHeight="true" outlineLevel="0" collapsed="false">
      <c r="A141" s="54" t="s">
        <v>661</v>
      </c>
      <c r="B141" s="55" t="s">
        <v>662</v>
      </c>
    </row>
    <row r="142" customFormat="false" ht="13.5" hidden="false" customHeight="true" outlineLevel="0" collapsed="false">
      <c r="A142" s="54" t="s">
        <v>663</v>
      </c>
      <c r="B142" s="55" t="s">
        <v>664</v>
      </c>
    </row>
    <row r="143" customFormat="false" ht="13.5" hidden="false" customHeight="true" outlineLevel="0" collapsed="false">
      <c r="A143" s="54" t="s">
        <v>665</v>
      </c>
      <c r="B143" s="55" t="s">
        <v>666</v>
      </c>
    </row>
    <row r="144" customFormat="false" ht="13.5" hidden="false" customHeight="true" outlineLevel="0" collapsed="false">
      <c r="A144" s="54" t="s">
        <v>667</v>
      </c>
      <c r="B144" s="55" t="s">
        <v>668</v>
      </c>
    </row>
    <row r="145" customFormat="false" ht="13.5" hidden="false" customHeight="true" outlineLevel="0" collapsed="false">
      <c r="A145" s="54" t="s">
        <v>669</v>
      </c>
      <c r="B145" s="55" t="s">
        <v>670</v>
      </c>
    </row>
    <row r="146" customFormat="false" ht="13.5" hidden="false" customHeight="true" outlineLevel="0" collapsed="false">
      <c r="A146" s="54" t="s">
        <v>671</v>
      </c>
      <c r="B146" s="55" t="s">
        <v>672</v>
      </c>
    </row>
    <row r="147" customFormat="false" ht="13.5" hidden="false" customHeight="true" outlineLevel="0" collapsed="false">
      <c r="A147" s="54" t="s">
        <v>673</v>
      </c>
      <c r="B147" s="55" t="s">
        <v>674</v>
      </c>
    </row>
    <row r="148" customFormat="false" ht="13.5" hidden="false" customHeight="true" outlineLevel="0" collapsed="false">
      <c r="A148" s="54" t="s">
        <v>675</v>
      </c>
      <c r="B148" s="55" t="s">
        <v>676</v>
      </c>
    </row>
    <row r="149" customFormat="false" ht="13.5" hidden="false" customHeight="true" outlineLevel="0" collapsed="false">
      <c r="A149" s="54" t="s">
        <v>677</v>
      </c>
      <c r="B149" s="55" t="s">
        <v>678</v>
      </c>
    </row>
    <row r="150" customFormat="false" ht="13.5" hidden="false" customHeight="true" outlineLevel="0" collapsed="false">
      <c r="A150" s="54" t="s">
        <v>679</v>
      </c>
      <c r="B150" s="55" t="s">
        <v>680</v>
      </c>
    </row>
    <row r="151" customFormat="false" ht="13.5" hidden="false" customHeight="true" outlineLevel="0" collapsed="false">
      <c r="A151" s="54" t="s">
        <v>681</v>
      </c>
      <c r="B151" s="55" t="s">
        <v>682</v>
      </c>
    </row>
    <row r="152" customFormat="false" ht="13.5" hidden="false" customHeight="true" outlineLevel="0" collapsed="false">
      <c r="A152" s="54" t="s">
        <v>683</v>
      </c>
      <c r="B152" s="55" t="s">
        <v>684</v>
      </c>
    </row>
    <row r="153" customFormat="false" ht="13.5" hidden="false" customHeight="true" outlineLevel="0" collapsed="false">
      <c r="A153" s="54" t="s">
        <v>685</v>
      </c>
      <c r="B153" s="55" t="s">
        <v>686</v>
      </c>
    </row>
    <row r="154" customFormat="false" ht="13.5" hidden="false" customHeight="true" outlineLevel="0" collapsed="false">
      <c r="A154" s="54" t="s">
        <v>687</v>
      </c>
      <c r="B154" s="55"/>
    </row>
    <row r="155" customFormat="false" ht="13.5" hidden="false" customHeight="true" outlineLevel="0" collapsed="false">
      <c r="A155" s="54" t="s">
        <v>688</v>
      </c>
      <c r="B155" s="55" t="s">
        <v>689</v>
      </c>
    </row>
    <row r="156" customFormat="false" ht="13.5" hidden="false" customHeight="true" outlineLevel="0" collapsed="false">
      <c r="A156" s="54" t="s">
        <v>690</v>
      </c>
      <c r="B156" s="55" t="s">
        <v>691</v>
      </c>
    </row>
    <row r="157" customFormat="false" ht="13.5" hidden="false" customHeight="true" outlineLevel="0" collapsed="false">
      <c r="A157" s="54" t="s">
        <v>692</v>
      </c>
      <c r="B157" s="55" t="s">
        <v>693</v>
      </c>
    </row>
    <row r="158" customFormat="false" ht="13.5" hidden="false" customHeight="true" outlineLevel="0" collapsed="false">
      <c r="A158" s="54" t="s">
        <v>694</v>
      </c>
      <c r="B158" s="55" t="s">
        <v>695</v>
      </c>
    </row>
    <row r="159" customFormat="false" ht="13.5" hidden="false" customHeight="true" outlineLevel="0" collapsed="false">
      <c r="A159" s="54" t="s">
        <v>696</v>
      </c>
      <c r="B159" s="55" t="s">
        <v>549</v>
      </c>
    </row>
    <row r="160" customFormat="false" ht="13.5" hidden="false" customHeight="true" outlineLevel="0" collapsed="false">
      <c r="A160" s="54" t="s">
        <v>697</v>
      </c>
      <c r="B160" s="55"/>
    </row>
    <row r="161" customFormat="false" ht="13.5" hidden="false" customHeight="true" outlineLevel="0" collapsed="false">
      <c r="A161" s="54" t="s">
        <v>698</v>
      </c>
      <c r="B161" s="55" t="s">
        <v>699</v>
      </c>
    </row>
    <row r="162" customFormat="false" ht="13.5" hidden="false" customHeight="true" outlineLevel="0" collapsed="false">
      <c r="A162" s="54" t="s">
        <v>700</v>
      </c>
      <c r="B162" s="55" t="s">
        <v>701</v>
      </c>
    </row>
    <row r="163" customFormat="false" ht="13.5" hidden="false" customHeight="true" outlineLevel="0" collapsed="false">
      <c r="A163" s="54" t="s">
        <v>702</v>
      </c>
      <c r="B163" s="55" t="s">
        <v>703</v>
      </c>
    </row>
    <row r="164" customFormat="false" ht="13.5" hidden="false" customHeight="true" outlineLevel="0" collapsed="false">
      <c r="A164" s="54" t="s">
        <v>704</v>
      </c>
      <c r="B164" s="55" t="s">
        <v>705</v>
      </c>
    </row>
    <row r="165" customFormat="false" ht="13.5" hidden="false" customHeight="true" outlineLevel="0" collapsed="false">
      <c r="A165" s="54" t="s">
        <v>706</v>
      </c>
      <c r="B165" s="55" t="s">
        <v>707</v>
      </c>
    </row>
    <row r="166" customFormat="false" ht="13.5" hidden="false" customHeight="true" outlineLevel="0" collapsed="false">
      <c r="A166" s="54" t="s">
        <v>708</v>
      </c>
      <c r="B166" s="55"/>
    </row>
    <row r="167" customFormat="false" ht="13.5" hidden="false" customHeight="true" outlineLevel="0" collapsed="false">
      <c r="A167" s="54" t="s">
        <v>709</v>
      </c>
      <c r="B167" s="55" t="s">
        <v>710</v>
      </c>
    </row>
    <row r="168" customFormat="false" ht="13.5" hidden="false" customHeight="true" outlineLevel="0" collapsed="false">
      <c r="A168" s="54" t="s">
        <v>711</v>
      </c>
      <c r="B168" s="55" t="s">
        <v>712</v>
      </c>
    </row>
    <row r="169" customFormat="false" ht="13.5" hidden="false" customHeight="true" outlineLevel="0" collapsed="false">
      <c r="A169" s="54" t="s">
        <v>713</v>
      </c>
      <c r="B169" s="55" t="s">
        <v>714</v>
      </c>
    </row>
    <row r="170" customFormat="false" ht="13.5" hidden="false" customHeight="true" outlineLevel="0" collapsed="false">
      <c r="A170" s="54" t="s">
        <v>715</v>
      </c>
      <c r="B170" s="55" t="s">
        <v>716</v>
      </c>
    </row>
    <row r="171" customFormat="false" ht="13.5" hidden="false" customHeight="true" outlineLevel="0" collapsed="false">
      <c r="A171" s="54" t="s">
        <v>717</v>
      </c>
      <c r="B171" s="55" t="s">
        <v>718</v>
      </c>
    </row>
    <row r="172" customFormat="false" ht="13.5" hidden="false" customHeight="true" outlineLevel="0" collapsed="false">
      <c r="A172" s="54" t="s">
        <v>719</v>
      </c>
      <c r="B172" s="55" t="s">
        <v>720</v>
      </c>
    </row>
    <row r="173" customFormat="false" ht="13.5" hidden="false" customHeight="true" outlineLevel="0" collapsed="false">
      <c r="A173" s="54" t="s">
        <v>721</v>
      </c>
      <c r="B173" s="55" t="s">
        <v>722</v>
      </c>
    </row>
    <row r="174" customFormat="false" ht="13.5" hidden="false" customHeight="true" outlineLevel="0" collapsed="false">
      <c r="A174" s="54" t="s">
        <v>723</v>
      </c>
      <c r="B174" s="55" t="s">
        <v>724</v>
      </c>
    </row>
    <row r="175" customFormat="false" ht="13.5" hidden="false" customHeight="true" outlineLevel="0" collapsed="false">
      <c r="A175" s="54" t="s">
        <v>725</v>
      </c>
      <c r="B175" s="55" t="s">
        <v>726</v>
      </c>
    </row>
    <row r="176" customFormat="false" ht="13.5" hidden="false" customHeight="true" outlineLevel="0" collapsed="false">
      <c r="A176" s="54" t="s">
        <v>727</v>
      </c>
      <c r="B176" s="55" t="s">
        <v>728</v>
      </c>
    </row>
    <row r="177" customFormat="false" ht="13.5" hidden="false" customHeight="true" outlineLevel="0" collapsed="false">
      <c r="A177" s="54" t="s">
        <v>729</v>
      </c>
      <c r="B177" s="55" t="s">
        <v>730</v>
      </c>
    </row>
    <row r="178" customFormat="false" ht="13.5" hidden="false" customHeight="true" outlineLevel="0" collapsed="false">
      <c r="A178" s="54" t="s">
        <v>731</v>
      </c>
      <c r="B178" s="55" t="s">
        <v>732</v>
      </c>
    </row>
    <row r="179" customFormat="false" ht="13.5" hidden="false" customHeight="true" outlineLevel="0" collapsed="false">
      <c r="A179" s="54" t="s">
        <v>733</v>
      </c>
      <c r="B179" s="55" t="s">
        <v>734</v>
      </c>
    </row>
    <row r="180" customFormat="false" ht="13.5" hidden="false" customHeight="true" outlineLevel="0" collapsed="false">
      <c r="A180" s="54" t="s">
        <v>735</v>
      </c>
      <c r="B180" s="55" t="s">
        <v>736</v>
      </c>
    </row>
    <row r="181" customFormat="false" ht="13.5" hidden="false" customHeight="true" outlineLevel="0" collapsed="false">
      <c r="A181" s="54" t="s">
        <v>737</v>
      </c>
      <c r="B181" s="55"/>
    </row>
    <row r="182" customFormat="false" ht="13.5" hidden="false" customHeight="true" outlineLevel="0" collapsed="false">
      <c r="A182" s="54" t="s">
        <v>738</v>
      </c>
      <c r="B182" s="55" t="s">
        <v>739</v>
      </c>
    </row>
    <row r="183" customFormat="false" ht="13.5" hidden="false" customHeight="true" outlineLevel="0" collapsed="false">
      <c r="A183" s="54" t="s">
        <v>740</v>
      </c>
      <c r="B183" s="55" t="s">
        <v>741</v>
      </c>
    </row>
    <row r="184" customFormat="false" ht="13.5" hidden="false" customHeight="true" outlineLevel="0" collapsed="false">
      <c r="A184" s="54" t="s">
        <v>742</v>
      </c>
      <c r="B184" s="55" t="s">
        <v>743</v>
      </c>
    </row>
    <row r="185" customFormat="false" ht="13.5" hidden="false" customHeight="true" outlineLevel="0" collapsed="false">
      <c r="A185" s="54" t="s">
        <v>744</v>
      </c>
      <c r="B185" s="55" t="s">
        <v>745</v>
      </c>
    </row>
    <row r="186" customFormat="false" ht="13.5" hidden="false" customHeight="true" outlineLevel="0" collapsed="false">
      <c r="A186" s="54" t="s">
        <v>746</v>
      </c>
      <c r="B186" s="55" t="s">
        <v>747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2026-05-19T05:46:53Z</dcterms:created>
  <dc:creator>openpyxl</dc:creator>
  <dc:description/>
  <dc:language>en-US</dc:language>
  <cp:lastModifiedBy/>
  <dcterms:modified xsi:type="dcterms:W3CDTF">2026-05-19T05:46:53Z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