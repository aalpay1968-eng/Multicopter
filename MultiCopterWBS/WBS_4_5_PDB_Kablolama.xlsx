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4.5 KAPAK" sheetId="1" state="visible" r:id="rId1"/>
    <sheet xmlns:r="http://schemas.openxmlformats.org/officeDocument/2006/relationships" name="PDB Boyutlandırma" sheetId="2" state="visible" r:id="rId2"/>
    <sheet xmlns:r="http://schemas.openxmlformats.org/officeDocument/2006/relationships" name="AWG Kablo Tablosu" sheetId="3" state="visible" r:id="rId3"/>
    <sheet xmlns:r="http://schemas.openxmlformats.org/officeDocument/2006/relationships" name="Sigorta &amp; Konektör" sheetId="4" state="visible" r:id="rId4"/>
    <sheet xmlns:r="http://schemas.openxmlformats.org/officeDocument/2006/relationships" name="Hesap Algoritması" sheetId="5" state="visible" r:id="rId5"/>
    <sheet xmlns:r="http://schemas.openxmlformats.org/officeDocument/2006/relationships" name="pdb_size.p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D0D0D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 ht="50" customHeight="1">
      <c r="A1" s="1" t="inlineStr">
        <is>
          <t>⚙️  WBS 4.5 v1.0 — GÜÇ DAĞITIM KARTI (PDB) &amp; KABLOLAMA
I_PDB Boyutlandırma | AWG Hesabı | BEC 5V/12V | Sigorta Seçimi | DO-160G §16</t>
        </is>
      </c>
    </row>
    <row r="2" ht="40" customHeight="1">
      <c r="A2" s="2" t="inlineStr">
        <is>
          <t>Faz / Kod:</t>
        </is>
      </c>
      <c r="B2" s="3" t="inlineStr">
        <is>
          <t>AŞAMA 4 — Güç Sistemi  |  WBS 4.5 v1.0</t>
        </is>
      </c>
    </row>
    <row r="3" ht="40" customHeight="1">
      <c r="A3" s="2" t="inlineStr">
        <is>
          <t>Amaç:</t>
        </is>
      </c>
      <c r="B3" s="3" t="inlineStr">
        <is>
          <t>Güç dağıtım kartı akım kapasitesini belirle; kablo kesitini (AWG) hesapla; BEC regülatörü voltajlarını seç; sigorta değerini hesapla. DO-160G §16 EMC gereksinimleriyle uyumlu kablolama düzeni oluştur.</t>
        </is>
      </c>
    </row>
    <row r="4" ht="40" customHeight="1">
      <c r="A4" s="2" t="inlineStr">
        <is>
          <t>Girdi:</t>
        </is>
      </c>
      <c r="B4" s="3" t="inlineStr">
        <is>
          <t>thrust_chain.json (WBS 3.9): I_total_A, n_rotors, I_per_motor_A
bms.json (WBS 4.4): OCP_A (sigorta referansı)
avionics_power_W: aviyonik güç bütçesi (FCU, GPS, RC, RX)</t>
        </is>
      </c>
    </row>
    <row r="5" ht="40" customHeight="1">
      <c r="A5" s="2" t="inlineStr">
        <is>
          <t>Çıktı:</t>
        </is>
      </c>
      <c r="B5" s="3" t="inlineStr">
        <is>
          <t>pdb.json: I_rating_A, V_max, BEC_5V, BEC_12V, AWG, fuse_A, weight_g
cable_layout.md: kablo renk kodu ve yönlendirme prosedürü</t>
        </is>
      </c>
    </row>
    <row r="6" ht="40" customHeight="1">
      <c r="A6" s="2" t="inlineStr">
        <is>
          <t>Kabul Kriteri:</t>
        </is>
      </c>
      <c r="B6" s="3" t="inlineStr">
        <is>
          <t>I_PDB ≥ I_total × 1.30 (güvenlik faktörü)
Kablo AWG: J_max ≤ 3 A/mm² (havacılık standardı)
Sigorta: I_fuse = I_PDB × 1.10 (PDB akımından %10 üst)
BEC: 5V ≥ 3A (aviyonik); 12V ≥ 2A (kamera/lidar)</t>
        </is>
      </c>
    </row>
    <row r="7" ht="40" customHeight="1">
      <c r="A7" s="2" t="inlineStr">
        <is>
          <t>Önceki WBS:</t>
        </is>
      </c>
      <c r="B7" s="3" t="inlineStr">
        <is>
          <t>WBS 3.9 (thrust_chain.json) | WBS 4.4 (bms.json) | WBS 7.1 (avionics)</t>
        </is>
      </c>
    </row>
    <row r="8" ht="40" customHeight="1">
      <c r="A8" s="2" t="inlineStr">
        <is>
          <t>Sonraki WBS:</t>
        </is>
      </c>
      <c r="B8" s="3" t="inlineStr">
        <is>
          <t>WBS 4.6 (EMI/EMC — kablolama düzeni) | WBS 9.5 (Preflight — PDB test)</t>
        </is>
      </c>
    </row>
    <row r="9" ht="40" customHeight="1">
      <c r="A9" s="2" t="inlineStr">
        <is>
          <t>Standartlar:</t>
        </is>
      </c>
      <c r="B9" s="3" t="inlineStr">
        <is>
          <t>IEC 60364-7-712 (mobil/taşınabilir güç sistemleri)
DO-160G §16 (güç girişi ve güç kalitesi)
MIL-W-22759 (havacılık kablo standardı)
SAE AS50881 (uçak kablolama)
XT90 / AS150 / EC5 konektör standartları</t>
        </is>
      </c>
    </row>
    <row r="10" ht="40" customHeight="1">
      <c r="A10" s="2" t="inlineStr">
        <is>
          <t>Script:</t>
        </is>
      </c>
      <c r="B10" s="3" t="inlineStr">
        <is>
          <t>pdb_size.py (WBS 4.5)
Girdi: thrust_chain.json + bms.json + avionics_power_W
Çıktı: pdb.json</t>
        </is>
      </c>
    </row>
    <row r="11" ht="40" customHeight="1">
      <c r="A11" s="2" t="inlineStr">
        <is>
          <t>Versiyon:</t>
        </is>
      </c>
      <c r="B11" s="3" t="inlineStr">
        <is>
          <t>v1.0 — Mayıs 2026 | AWG Tablosu | DO-160G Uyumluluk</t>
        </is>
      </c>
    </row>
    <row r="12">
      <c r="A12" s="4" t="n"/>
      <c r="B12" s="4" t="n"/>
    </row>
    <row r="13">
      <c r="A13" s="5" t="inlineStr">
        <is>
          <t>SAYFA YAPISI:</t>
        </is>
      </c>
      <c r="B13" s="4" t="n"/>
    </row>
    <row r="14">
      <c r="A14" s="6" t="inlineStr">
        <is>
          <t>WBS 4.5 KAPAK</t>
        </is>
      </c>
      <c r="B14" s="3" t="inlineStr">
        <is>
          <t>Amaç, standartlar</t>
        </is>
      </c>
    </row>
    <row r="15">
      <c r="A15" s="6" t="inlineStr">
        <is>
          <t>PDB Boyutlandırma</t>
        </is>
      </c>
      <c r="B15" s="3" t="inlineStr">
        <is>
          <t>I_PDB hesabı; güç hiyerarşisi</t>
        </is>
      </c>
    </row>
    <row r="16">
      <c r="A16" s="6" t="inlineStr">
        <is>
          <t>AWG Kablo Tablosu</t>
        </is>
      </c>
      <c r="B16" s="3" t="inlineStr">
        <is>
          <t>Kesit/akım kılavuzu; uzunluk etkisi</t>
        </is>
      </c>
    </row>
    <row r="17">
      <c r="A17" s="6" t="inlineStr">
        <is>
          <t>Sigorta &amp; Konektör</t>
        </is>
      </c>
      <c r="B17" s="3" t="inlineStr">
        <is>
          <t>Sigorta seçimi; konektör kataloğu</t>
        </is>
      </c>
    </row>
    <row r="18">
      <c r="A18" s="6" t="inlineStr">
        <is>
          <t>Hesap Algoritması</t>
        </is>
      </c>
      <c r="B18" s="3" t="inlineStr">
        <is>
          <t>5 adım PDB tasarımı</t>
        </is>
      </c>
    </row>
    <row r="19">
      <c r="A19" s="6" t="inlineStr">
        <is>
          <t>pdb_size.py</t>
        </is>
      </c>
      <c r="B19" s="3" t="inlineStr">
        <is>
          <t>Tam Python kodu</t>
        </is>
      </c>
    </row>
    <row r="20">
      <c r="A20" s="4" t="n"/>
      <c r="B20" s="4" t="n"/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7" t="inlineStr">
        <is>
          <t>WBS 4.5 — PDB GÜÇ HİYERARŞİSİ &amp; AKIM BOYUTLANDIRMASI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ID</t>
        </is>
      </c>
      <c r="B2" s="8" t="inlineStr">
        <is>
          <t>Yük / Devre</t>
        </is>
      </c>
      <c r="C2" s="8" t="inlineStr">
        <is>
          <t>Akım (A)</t>
        </is>
      </c>
      <c r="D2" s="8" t="inlineStr">
        <is>
          <t>Voltaj (V)</t>
        </is>
      </c>
      <c r="E2" s="8" t="inlineStr">
        <is>
          <t>Öncelik</t>
        </is>
      </c>
      <c r="F2" s="8" t="inlineStr">
        <is>
          <t>Sigorta</t>
        </is>
      </c>
      <c r="G2" s="8" t="inlineStr">
        <is>
          <t>Açıklama</t>
        </is>
      </c>
    </row>
    <row r="3" ht="28" customHeight="1">
      <c r="A3" s="9" t="inlineStr">
        <is>
          <t>L01</t>
        </is>
      </c>
      <c r="B3" s="10" t="inlineStr">
        <is>
          <t>Motor×n + ESC (Ana hat)</t>
        </is>
      </c>
      <c r="C3" s="9" t="inlineStr">
        <is>
          <t>I_total_A</t>
        </is>
      </c>
      <c r="D3" s="9" t="inlineStr">
        <is>
          <t>V_bat</t>
        </is>
      </c>
      <c r="E3" s="9" t="inlineStr">
        <is>
          <t>P1</t>
        </is>
      </c>
      <c r="F3" s="9" t="inlineStr">
        <is>
          <t>I_total×1.1</t>
        </is>
      </c>
      <c r="G3" s="10" t="inlineStr">
        <is>
          <t>Ana güç; düşük dirençli bara</t>
        </is>
      </c>
    </row>
    <row r="4" ht="28" customHeight="1">
      <c r="A4" s="9" t="inlineStr">
        <is>
          <t>L02</t>
        </is>
      </c>
      <c r="B4" s="10" t="inlineStr">
        <is>
          <t>BMS/Batarya Girişi</t>
        </is>
      </c>
      <c r="C4" s="9" t="inlineStr">
        <is>
          <t>I_bat_max</t>
        </is>
      </c>
      <c r="D4" s="9" t="inlineStr">
        <is>
          <t>V_bat</t>
        </is>
      </c>
      <c r="E4" s="9" t="inlineStr">
        <is>
          <t>P0</t>
        </is>
      </c>
      <c r="F4" s="9" t="inlineStr">
        <is>
          <t>OCP (BMS)</t>
        </is>
      </c>
      <c r="G4" s="10" t="inlineStr">
        <is>
          <t>BMS OCP koruması devrede</t>
        </is>
      </c>
    </row>
    <row r="5" ht="28" customHeight="1">
      <c r="A5" s="11" t="inlineStr">
        <is>
          <t>L03</t>
        </is>
      </c>
      <c r="B5" s="12" t="inlineStr">
        <is>
          <t>BEC 5V (FCU+GPS+RC)</t>
        </is>
      </c>
      <c r="C5" s="11" t="inlineStr">
        <is>
          <t>3–5 A</t>
        </is>
      </c>
      <c r="D5" s="11" t="inlineStr">
        <is>
          <t>5 V</t>
        </is>
      </c>
      <c r="E5" s="11" t="inlineStr">
        <is>
          <t>P1</t>
        </is>
      </c>
      <c r="F5" s="11" t="inlineStr">
        <is>
          <t>5 A</t>
        </is>
      </c>
      <c r="G5" s="12" t="inlineStr">
        <is>
          <t>Aviyonik; BEC lineer veya switching</t>
        </is>
      </c>
    </row>
    <row r="6" ht="28" customHeight="1">
      <c r="A6" s="13" t="inlineStr">
        <is>
          <t>L04</t>
        </is>
      </c>
      <c r="B6" s="14" t="inlineStr">
        <is>
          <t>BEC 12V (Kamera/Lidar)</t>
        </is>
      </c>
      <c r="C6" s="13" t="inlineStr">
        <is>
          <t>2–3 A</t>
        </is>
      </c>
      <c r="D6" s="13" t="inlineStr">
        <is>
          <t>12 V</t>
        </is>
      </c>
      <c r="E6" s="13" t="inlineStr">
        <is>
          <t>P2</t>
        </is>
      </c>
      <c r="F6" s="13" t="inlineStr">
        <is>
          <t>3 A</t>
        </is>
      </c>
      <c r="G6" s="14" t="inlineStr">
        <is>
          <t>Yardımcı güç; opsiyonel</t>
        </is>
      </c>
    </row>
    <row r="7" ht="28" customHeight="1">
      <c r="A7" s="11" t="inlineStr">
        <is>
          <t>L05</t>
        </is>
      </c>
      <c r="B7" s="12" t="inlineStr">
        <is>
          <t>LED / Işıklar</t>
        </is>
      </c>
      <c r="C7" s="11" t="inlineStr">
        <is>
          <t>0.5–1 A</t>
        </is>
      </c>
      <c r="D7" s="11" t="inlineStr">
        <is>
          <t>5 V</t>
        </is>
      </c>
      <c r="E7" s="11" t="inlineStr">
        <is>
          <t>P3</t>
        </is>
      </c>
      <c r="F7" s="11" t="inlineStr">
        <is>
          <t>1 A</t>
        </is>
      </c>
      <c r="G7" s="12" t="inlineStr">
        <is>
          <t>Navigasyon ışığı; EASA RID</t>
        </is>
      </c>
    </row>
    <row r="8" ht="28" customHeight="1">
      <c r="A8" s="13" t="inlineStr">
        <is>
          <t>L06</t>
        </is>
      </c>
      <c r="B8" s="14" t="inlineStr">
        <is>
          <t>Gimbal/Servo</t>
        </is>
      </c>
      <c r="C8" s="13" t="inlineStr">
        <is>
          <t>2–4 A</t>
        </is>
      </c>
      <c r="D8" s="13" t="inlineStr">
        <is>
          <t>12 V</t>
        </is>
      </c>
      <c r="E8" s="13" t="inlineStr">
        <is>
          <t>P2</t>
        </is>
      </c>
      <c r="F8" s="13" t="inlineStr">
        <is>
          <t>4 A</t>
        </is>
      </c>
      <c r="G8" s="14" t="inlineStr">
        <is>
          <t>Payload güç; ayrı hat tercih</t>
        </is>
      </c>
    </row>
    <row r="9" ht="28" customHeight="1">
      <c r="A9" s="11" t="inlineStr">
        <is>
          <t>L07</t>
        </is>
      </c>
      <c r="B9" s="12" t="inlineStr">
        <is>
          <t>Acil Durum (Paraşüt/Buzzer)</t>
        </is>
      </c>
      <c r="C9" s="11" t="inlineStr">
        <is>
          <t>&lt; 1 A</t>
        </is>
      </c>
      <c r="D9" s="11" t="inlineStr">
        <is>
          <t>5 V</t>
        </is>
      </c>
      <c r="E9" s="11" t="inlineStr">
        <is>
          <t>P0</t>
        </is>
      </c>
      <c r="F9" s="11" t="inlineStr">
        <is>
          <t>2 A</t>
        </is>
      </c>
      <c r="G9" s="12" t="inlineStr">
        <is>
          <t>Her zaman aktif; failsafe</t>
        </is>
      </c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15" t="inlineStr">
        <is>
          <t>I_PDB BOYUTLANDIRMA FORMÜLÜ</t>
        </is>
      </c>
      <c r="B12" s="4" t="n"/>
      <c r="C12" s="4" t="n"/>
      <c r="D12" s="4" t="n"/>
      <c r="E12" s="4" t="n"/>
      <c r="F12" s="4" t="n"/>
      <c r="G12" s="4" t="n"/>
    </row>
    <row r="13" ht="22" customHeight="1">
      <c r="A13" s="16" t="inlineStr">
        <is>
          <t>I_motor_total</t>
        </is>
      </c>
      <c r="B13" s="17">
        <f> n_rotors × I_per_motor_hover</f>
        <v/>
      </c>
      <c r="C13" s="4" t="n"/>
      <c r="D13" s="4" t="n"/>
      <c r="E13" s="4" t="n"/>
      <c r="F13" s="4" t="n"/>
      <c r="G13" s="4" t="n"/>
    </row>
    <row r="14" ht="22" customHeight="1">
      <c r="A14" s="16" t="inlineStr">
        <is>
          <t>I_avionics</t>
        </is>
      </c>
      <c r="B14" s="17">
        <f> avionics_power_W / V_bat_nom  (tipik 2–5 A @ 22V)</f>
        <v/>
      </c>
      <c r="C14" s="4" t="n"/>
      <c r="D14" s="4" t="n"/>
      <c r="E14" s="4" t="n"/>
      <c r="F14" s="4" t="n"/>
      <c r="G14" s="4" t="n"/>
    </row>
    <row r="15" ht="22" customHeight="1">
      <c r="A15" s="16" t="inlineStr">
        <is>
          <t>I_PDB_total</t>
        </is>
      </c>
      <c r="B15" s="17">
        <f> I_motor_total + I_avionics</f>
        <v/>
      </c>
      <c r="C15" s="4" t="n"/>
      <c r="D15" s="4" t="n"/>
      <c r="E15" s="4" t="n"/>
      <c r="F15" s="4" t="n"/>
      <c r="G15" s="4" t="n"/>
    </row>
    <row r="16" ht="22" customHeight="1">
      <c r="A16" s="16" t="inlineStr">
        <is>
          <t>I_PDB_rated</t>
        </is>
      </c>
      <c r="B16" s="17">
        <f> I_PDB_total × 1.30  (güvenlik faktörü ≥ 1.30)</f>
        <v/>
      </c>
      <c r="C16" s="4" t="n"/>
      <c r="D16" s="4" t="n"/>
      <c r="E16" s="4" t="n"/>
      <c r="F16" s="4" t="n"/>
      <c r="G16" s="4" t="n"/>
    </row>
    <row r="17" ht="22" customHeight="1">
      <c r="A17" s="16" t="inlineStr">
        <is>
          <t>I_fuse</t>
        </is>
      </c>
      <c r="B17" s="17">
        <f> I_PDB_rated × 1.10</f>
        <v/>
      </c>
      <c r="C17" s="4" t="n"/>
      <c r="D17" s="4" t="n"/>
      <c r="E17" s="4" t="n"/>
      <c r="F17" s="4" t="n"/>
      <c r="G17" s="4" t="n"/>
    </row>
    <row r="18" ht="22" customHeight="1">
      <c r="A18" s="16" t="inlineStr">
        <is>
          <t>PDB Seçim</t>
        </is>
      </c>
      <c r="B18" s="17" t="inlineStr">
        <is>
          <t>&gt; I_PDB_rated: Matek HV BEC, Holybro PM07D, T-Motor F7, özel baskılı</t>
        </is>
      </c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</sheetData>
  <mergeCells count="8">
    <mergeCell ref="B16:G16"/>
    <mergeCell ref="A1:G1"/>
    <mergeCell ref="B14:G14"/>
    <mergeCell ref="B17:G17"/>
    <mergeCell ref="A12:G12"/>
    <mergeCell ref="B18:G18"/>
    <mergeCell ref="B13:G13"/>
    <mergeCell ref="B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24" customWidth="1" min="8" max="8"/>
  </cols>
  <sheetData>
    <row r="1">
      <c r="A1" s="7" t="inlineStr">
        <is>
          <t>WBS 4.5 — AWG KABLO SEÇİM TABLOSU | J_max ≤ 3 A/mm² | Havacılık Standardı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8" t="inlineStr">
        <is>
          <t>ID</t>
        </is>
      </c>
      <c r="B2" s="8" t="inlineStr">
        <is>
          <t>AWG</t>
        </is>
      </c>
      <c r="C2" s="8" t="inlineStr">
        <is>
          <t>mm²</t>
        </is>
      </c>
      <c r="D2" s="8" t="inlineStr">
        <is>
          <t>I_max sürekli</t>
        </is>
      </c>
      <c r="E2" s="8" t="inlineStr">
        <is>
          <t>I_max anlık</t>
        </is>
      </c>
      <c r="F2" s="8" t="inlineStr">
        <is>
          <t>Direnç (mΩ/m)</t>
        </is>
      </c>
      <c r="G2" s="8" t="inlineStr">
        <is>
          <t>UAV Kullanım</t>
        </is>
      </c>
      <c r="H2" s="8" t="inlineStr">
        <is>
          <t>Not</t>
        </is>
      </c>
    </row>
    <row r="3" ht="24" customHeight="1">
      <c r="A3" s="18" t="inlineStr">
        <is>
          <t>A01</t>
        </is>
      </c>
      <c r="B3" s="18" t="inlineStr">
        <is>
          <t>AWG 8</t>
        </is>
      </c>
      <c r="C3" s="18" t="inlineStr">
        <is>
          <t>8.37 mm²</t>
        </is>
      </c>
      <c r="D3" s="18" t="inlineStr">
        <is>
          <t>50 A</t>
        </is>
      </c>
      <c r="E3" s="18" t="inlineStr">
        <is>
          <t>80 A</t>
        </is>
      </c>
      <c r="F3" s="18" t="inlineStr">
        <is>
          <t>2.1</t>
        </is>
      </c>
      <c r="G3" s="18" t="inlineStr">
        <is>
          <t>Ana güç (&gt;40A)</t>
        </is>
      </c>
      <c r="H3" s="19" t="inlineStr">
        <is>
          <t>Kalın; ana bara için</t>
        </is>
      </c>
    </row>
    <row r="4" ht="24" customHeight="1">
      <c r="A4" s="18" t="inlineStr">
        <is>
          <t>A02</t>
        </is>
      </c>
      <c r="B4" s="18" t="inlineStr">
        <is>
          <t>AWG 10</t>
        </is>
      </c>
      <c r="C4" s="18" t="inlineStr">
        <is>
          <t>5.26 mm²</t>
        </is>
      </c>
      <c r="D4" s="18" t="inlineStr">
        <is>
          <t>30 A</t>
        </is>
      </c>
      <c r="E4" s="18" t="inlineStr">
        <is>
          <t>50 A</t>
        </is>
      </c>
      <c r="F4" s="18" t="inlineStr">
        <is>
          <t>3.3</t>
        </is>
      </c>
      <c r="G4" s="18" t="inlineStr">
        <is>
          <t>Ana güç (20-40A)</t>
        </is>
      </c>
      <c r="H4" s="19" t="inlineStr">
        <is>
          <t>Yaygın ana hat</t>
        </is>
      </c>
    </row>
    <row r="5" ht="24" customHeight="1">
      <c r="A5" s="11" t="inlineStr">
        <is>
          <t>A03</t>
        </is>
      </c>
      <c r="B5" s="11" t="inlineStr">
        <is>
          <t>AWG 12</t>
        </is>
      </c>
      <c r="C5" s="11" t="inlineStr">
        <is>
          <t>3.31 mm²</t>
        </is>
      </c>
      <c r="D5" s="11" t="inlineStr">
        <is>
          <t>20 A</t>
        </is>
      </c>
      <c r="E5" s="11" t="inlineStr">
        <is>
          <t>35 A</t>
        </is>
      </c>
      <c r="F5" s="11" t="inlineStr">
        <is>
          <t>5.2</t>
        </is>
      </c>
      <c r="G5" s="11" t="inlineStr">
        <is>
          <t>Motor hatları (küçük)</t>
        </is>
      </c>
      <c r="H5" s="12" t="inlineStr">
        <is>
          <t>6S quad tipik</t>
        </is>
      </c>
    </row>
    <row r="6" ht="24" customHeight="1">
      <c r="A6" s="13" t="inlineStr">
        <is>
          <t>A04</t>
        </is>
      </c>
      <c r="B6" s="13" t="inlineStr">
        <is>
          <t>AWG 14</t>
        </is>
      </c>
      <c r="C6" s="13" t="inlineStr">
        <is>
          <t>2.08 mm²</t>
        </is>
      </c>
      <c r="D6" s="13" t="inlineStr">
        <is>
          <t>13 A</t>
        </is>
      </c>
      <c r="E6" s="13" t="inlineStr">
        <is>
          <t>22 A</t>
        </is>
      </c>
      <c r="F6" s="13" t="inlineStr">
        <is>
          <t>8.3</t>
        </is>
      </c>
      <c r="G6" s="13" t="inlineStr">
        <is>
          <t>ESC çıkışı</t>
        </is>
      </c>
      <c r="H6" s="14" t="inlineStr">
        <is>
          <t>Motor-ESC bağlantısı</t>
        </is>
      </c>
    </row>
    <row r="7" ht="24" customHeight="1">
      <c r="A7" s="11" t="inlineStr">
        <is>
          <t>A05</t>
        </is>
      </c>
      <c r="B7" s="11" t="inlineStr">
        <is>
          <t>AWG 16</t>
        </is>
      </c>
      <c r="C7" s="11" t="inlineStr">
        <is>
          <t>1.31 mm²</t>
        </is>
      </c>
      <c r="D7" s="11" t="inlineStr">
        <is>
          <t>8 A</t>
        </is>
      </c>
      <c r="E7" s="11" t="inlineStr">
        <is>
          <t>14 A</t>
        </is>
      </c>
      <c r="F7" s="11" t="inlineStr">
        <is>
          <t>13.2</t>
        </is>
      </c>
      <c r="G7" s="11" t="inlineStr">
        <is>
          <t>BEC çıkışı</t>
        </is>
      </c>
      <c r="H7" s="12" t="inlineStr">
        <is>
          <t>5V/12V beslemeler</t>
        </is>
      </c>
    </row>
    <row r="8" ht="24" customHeight="1">
      <c r="A8" s="13" t="inlineStr">
        <is>
          <t>A06</t>
        </is>
      </c>
      <c r="B8" s="13" t="inlineStr">
        <is>
          <t>AWG 18</t>
        </is>
      </c>
      <c r="C8" s="13" t="inlineStr">
        <is>
          <t>0.82 mm²</t>
        </is>
      </c>
      <c r="D8" s="13" t="inlineStr">
        <is>
          <t>5 A</t>
        </is>
      </c>
      <c r="E8" s="13" t="inlineStr">
        <is>
          <t>9 A</t>
        </is>
      </c>
      <c r="F8" s="13" t="inlineStr">
        <is>
          <t>21.0</t>
        </is>
      </c>
      <c r="G8" s="13" t="inlineStr">
        <is>
          <t>Sinyal + güç</t>
        </is>
      </c>
      <c r="H8" s="14" t="inlineStr">
        <is>
          <t>GPS, FCU beslemesi</t>
        </is>
      </c>
    </row>
    <row r="9" ht="24" customHeight="1">
      <c r="A9" s="11" t="inlineStr">
        <is>
          <t>A07</t>
        </is>
      </c>
      <c r="B9" s="11" t="inlineStr">
        <is>
          <t>AWG 20</t>
        </is>
      </c>
      <c r="C9" s="11" t="inlineStr">
        <is>
          <t>0.52 mm²</t>
        </is>
      </c>
      <c r="D9" s="11" t="inlineStr">
        <is>
          <t>3 A</t>
        </is>
      </c>
      <c r="E9" s="11" t="inlineStr">
        <is>
          <t>6 A</t>
        </is>
      </c>
      <c r="F9" s="11" t="inlineStr">
        <is>
          <t>33.3</t>
        </is>
      </c>
      <c r="G9" s="11" t="inlineStr">
        <is>
          <t>Sinyal kablosu</t>
        </is>
      </c>
      <c r="H9" s="12" t="inlineStr">
        <is>
          <t>RC/telemetri</t>
        </is>
      </c>
    </row>
    <row r="10" ht="24" customHeight="1">
      <c r="A10" s="13" t="inlineStr">
        <is>
          <t>A08</t>
        </is>
      </c>
      <c r="B10" s="13" t="inlineStr">
        <is>
          <t>AWG 22</t>
        </is>
      </c>
      <c r="C10" s="13" t="inlineStr">
        <is>
          <t>0.33 mm²</t>
        </is>
      </c>
      <c r="D10" s="13" t="inlineStr">
        <is>
          <t>1.5 A</t>
        </is>
      </c>
      <c r="E10" s="13" t="inlineStr">
        <is>
          <t>3 A</t>
        </is>
      </c>
      <c r="F10" s="13" t="inlineStr">
        <is>
          <t>52.9</t>
        </is>
      </c>
      <c r="G10" s="13" t="inlineStr">
        <is>
          <t>Sensör sinyali</t>
        </is>
      </c>
      <c r="H10" s="14" t="inlineStr">
        <is>
          <t>IMU, baro vb.</t>
        </is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20" t="inlineStr">
        <is>
          <t>UZUNLUK ETKİSİ: V_düş = I × R; Uzun kabloda AWG bir boy büyüt (ΔV ≤ 0.5V @ I_max). J_max = I / A_mm2 ≤ 3 A/mm² havacılık sınırı.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4" customWidth="1" min="5" max="5"/>
    <col width="18" customWidth="1" min="6" max="6"/>
    <col width="22" customWidth="1" min="7" max="7"/>
  </cols>
  <sheetData>
    <row r="1">
      <c r="A1" s="7" t="inlineStr">
        <is>
          <t>WBS 4.5 — SİGORTA SEÇİMİ &amp; KONEKTÖR KATALOĞU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ID</t>
        </is>
      </c>
      <c r="B2" s="8" t="inlineStr">
        <is>
          <t>Tip</t>
        </is>
      </c>
      <c r="C2" s="8" t="inlineStr">
        <is>
          <t>Akım Kapasitesi</t>
        </is>
      </c>
      <c r="D2" s="8" t="inlineStr">
        <is>
          <t>Voltaj</t>
        </is>
      </c>
      <c r="E2" s="8" t="inlineStr">
        <is>
          <t>Tepki Süresi</t>
        </is>
      </c>
      <c r="F2" s="8" t="inlineStr">
        <is>
          <t>UAV Kullanımı</t>
        </is>
      </c>
      <c r="G2" s="8" t="inlineStr">
        <is>
          <t>Açıklama</t>
        </is>
      </c>
    </row>
    <row r="3" ht="26" customHeight="1">
      <c r="A3" s="18" t="inlineStr">
        <is>
          <t>F01</t>
        </is>
      </c>
      <c r="B3" s="19" t="inlineStr">
        <is>
          <t>Sigorta (ANL/MIDI)</t>
        </is>
      </c>
      <c r="C3" s="18" t="inlineStr">
        <is>
          <t>30–200 A</t>
        </is>
      </c>
      <c r="D3" s="18" t="inlineStr">
        <is>
          <t>58 V</t>
        </is>
      </c>
      <c r="E3" s="18" t="inlineStr">
        <is>
          <t>Yavaş</t>
        </is>
      </c>
      <c r="F3" s="18" t="inlineStr">
        <is>
          <t>Ana hat koruması</t>
        </is>
      </c>
      <c r="G3" s="19" t="inlineStr">
        <is>
          <t>Gücü geç; kısa devreye karşı</t>
        </is>
      </c>
    </row>
    <row r="4" ht="26" customHeight="1">
      <c r="A4" s="13" t="inlineStr">
        <is>
          <t>F02</t>
        </is>
      </c>
      <c r="B4" s="14" t="inlineStr">
        <is>
          <t>Sigorta (Mini ATO)</t>
        </is>
      </c>
      <c r="C4" s="13" t="inlineStr">
        <is>
          <t>5–30 A</t>
        </is>
      </c>
      <c r="D4" s="13" t="inlineStr">
        <is>
          <t>32 V</t>
        </is>
      </c>
      <c r="E4" s="13" t="inlineStr">
        <is>
          <t>Orta</t>
        </is>
      </c>
      <c r="F4" s="13" t="inlineStr">
        <is>
          <t>BEC/yardımcı hat</t>
        </is>
      </c>
      <c r="G4" s="14" t="inlineStr">
        <is>
          <t>Küçük hat koruması</t>
        </is>
      </c>
    </row>
    <row r="5" ht="26" customHeight="1">
      <c r="A5" s="18" t="inlineStr">
        <is>
          <t>F03</t>
        </is>
      </c>
      <c r="B5" s="19" t="inlineStr">
        <is>
          <t>XT90 Konektör</t>
        </is>
      </c>
      <c r="C5" s="18" t="inlineStr">
        <is>
          <t>90 A sürekli</t>
        </is>
      </c>
      <c r="D5" s="18" t="inlineStr">
        <is>
          <t>60 V</t>
        </is>
      </c>
      <c r="E5" s="18" t="inlineStr">
        <is>
          <t>—</t>
        </is>
      </c>
      <c r="F5" s="18" t="inlineStr">
        <is>
          <t>Ana batarya bağlantısı</t>
        </is>
      </c>
      <c r="G5" s="19" t="inlineStr">
        <is>
          <t>Kısa devre korumalı; yaygın</t>
        </is>
      </c>
    </row>
    <row r="6" ht="26" customHeight="1">
      <c r="A6" s="13" t="inlineStr">
        <is>
          <t>F04</t>
        </is>
      </c>
      <c r="B6" s="14" t="inlineStr">
        <is>
          <t>AS150 Konektör</t>
        </is>
      </c>
      <c r="C6" s="13" t="inlineStr">
        <is>
          <t>150 A sürekli</t>
        </is>
      </c>
      <c r="D6" s="13" t="inlineStr">
        <is>
          <t>60 V</t>
        </is>
      </c>
      <c r="E6" s="13" t="inlineStr">
        <is>
          <t>—</t>
        </is>
      </c>
      <c r="F6" s="13" t="inlineStr">
        <is>
          <t>Ağır platform</t>
        </is>
      </c>
      <c r="G6" s="14" t="inlineStr">
        <is>
          <t>Anti-spark; yüksek akım</t>
        </is>
      </c>
    </row>
    <row r="7" ht="26" customHeight="1">
      <c r="A7" s="11" t="inlineStr">
        <is>
          <t>F05</t>
        </is>
      </c>
      <c r="B7" s="12" t="inlineStr">
        <is>
          <t>XT60 Konektör</t>
        </is>
      </c>
      <c r="C7" s="11" t="inlineStr">
        <is>
          <t>60 A sürekli</t>
        </is>
      </c>
      <c r="D7" s="11" t="inlineStr">
        <is>
          <t>60 V</t>
        </is>
      </c>
      <c r="E7" s="11" t="inlineStr">
        <is>
          <t>—</t>
        </is>
      </c>
      <c r="F7" s="11" t="inlineStr">
        <is>
          <t>Orta platform</t>
        </is>
      </c>
      <c r="G7" s="12" t="inlineStr">
        <is>
          <t>Standart; 6S/8S</t>
        </is>
      </c>
    </row>
    <row r="8" ht="26" customHeight="1">
      <c r="A8" s="13" t="inlineStr">
        <is>
          <t>F06</t>
        </is>
      </c>
      <c r="B8" s="14" t="inlineStr">
        <is>
          <t>EC5 Konektör</t>
        </is>
      </c>
      <c r="C8" s="13" t="inlineStr">
        <is>
          <t>120 A</t>
        </is>
      </c>
      <c r="D8" s="13" t="inlineStr">
        <is>
          <t>80 V</t>
        </is>
      </c>
      <c r="E8" s="13" t="inlineStr">
        <is>
          <t>—</t>
        </is>
      </c>
      <c r="F8" s="13" t="inlineStr">
        <is>
          <t>Ağır/yüksek voltaj</t>
        </is>
      </c>
      <c r="G8" s="14" t="inlineStr">
        <is>
          <t>Askeri/endüstriyel</t>
        </is>
      </c>
    </row>
    <row r="9" ht="26" customHeight="1">
      <c r="A9" s="11" t="inlineStr">
        <is>
          <t>F07</t>
        </is>
      </c>
      <c r="B9" s="12" t="inlineStr">
        <is>
          <t>Anti-Spark Konektör</t>
        </is>
      </c>
      <c r="C9" s="11" t="inlineStr">
        <is>
          <t>120 A</t>
        </is>
      </c>
      <c r="D9" s="11" t="inlineStr">
        <is>
          <t>60 V</t>
        </is>
      </c>
      <c r="E9" s="11" t="inlineStr">
        <is>
          <t>—</t>
        </is>
      </c>
      <c r="F9" s="11" t="inlineStr">
        <is>
          <t>Büyük platform</t>
        </is>
      </c>
      <c r="G9" s="12" t="inlineStr">
        <is>
          <t>Kondansatör şarjı gecikmesi</t>
        </is>
      </c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38" customWidth="1" min="4" max="4"/>
    <col width="10" customWidth="1" min="5" max="5"/>
    <col width="12" customWidth="1" min="6" max="6"/>
    <col width="18" customWidth="1" min="7" max="7"/>
  </cols>
  <sheetData>
    <row r="1">
      <c r="A1" s="7" t="inlineStr">
        <is>
          <t>WBS 4.5 — PDB TASARIM ALGORİTMASI | 5 Adım | AWG + Sigorta + BEC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#</t>
        </is>
      </c>
      <c r="B2" s="8" t="inlineStr">
        <is>
          <t>Parametre</t>
        </is>
      </c>
      <c r="C2" s="8" t="inlineStr">
        <is>
          <t>Sembol</t>
        </is>
      </c>
      <c r="D2" s="8" t="inlineStr">
        <is>
          <t>Formül / Kural</t>
        </is>
      </c>
      <c r="E2" s="8" t="inlineStr">
        <is>
          <t>Birim</t>
        </is>
      </c>
      <c r="F2" s="8" t="inlineStr">
        <is>
          <t>Tip</t>
        </is>
      </c>
      <c r="G2" s="8" t="inlineStr">
        <is>
          <t>Çıktı</t>
        </is>
      </c>
    </row>
    <row r="3" ht="22" customHeight="1">
      <c r="A3" s="21" t="inlineStr">
        <is>
          <t xml:space="preserve">  ▶  ADIM 1: AKIMLARI OKU</t>
        </is>
      </c>
      <c r="B3" s="4" t="n"/>
      <c r="C3" s="4" t="n"/>
      <c r="D3" s="4" t="n"/>
      <c r="E3" s="4" t="n"/>
      <c r="F3" s="4" t="n"/>
      <c r="G3" s="4" t="n"/>
    </row>
    <row r="4" ht="35" customHeight="1">
      <c r="A4" s="18" t="inlineStr">
        <is>
          <t>1.1</t>
        </is>
      </c>
      <c r="B4" s="6" t="inlineStr">
        <is>
          <t>Motor Akımı</t>
        </is>
      </c>
      <c r="C4" s="18" t="inlineStr">
        <is>
          <t>I_motor</t>
        </is>
      </c>
      <c r="D4" s="19" t="inlineStr">
        <is>
          <t>thrust_chain['I_total_A']</t>
        </is>
      </c>
      <c r="E4" s="18" t="inlineStr">
        <is>
          <t>A</t>
        </is>
      </c>
      <c r="F4" s="18" t="inlineStr">
        <is>
          <t>Float</t>
        </is>
      </c>
      <c r="G4" s="19" t="inlineStr">
        <is>
          <t>I_motor</t>
        </is>
      </c>
    </row>
    <row r="5" ht="35" customHeight="1">
      <c r="A5" s="11" t="inlineStr">
        <is>
          <t>1.2</t>
        </is>
      </c>
      <c r="B5" s="22" t="inlineStr">
        <is>
          <t>Aviyonik Akım</t>
        </is>
      </c>
      <c r="C5" s="11" t="inlineStr">
        <is>
          <t>I_avionics</t>
        </is>
      </c>
      <c r="D5" s="12" t="inlineStr">
        <is>
          <t>avionics_power_W / V_bat_nom</t>
        </is>
      </c>
      <c r="E5" s="11" t="inlineStr">
        <is>
          <t>A</t>
        </is>
      </c>
      <c r="F5" s="11" t="inlineStr">
        <is>
          <t>Float</t>
        </is>
      </c>
      <c r="G5" s="12" t="inlineStr">
        <is>
          <t>I_avionics</t>
        </is>
      </c>
    </row>
    <row r="6" ht="22" customHeight="1">
      <c r="A6" s="21" t="inlineStr">
        <is>
          <t xml:space="preserve">  ▶  ADIM 2: PDB AKIMI HESAPLA</t>
        </is>
      </c>
      <c r="B6" s="4" t="n"/>
      <c r="C6" s="4" t="n"/>
      <c r="D6" s="4" t="n"/>
      <c r="E6" s="4" t="n"/>
      <c r="F6" s="4" t="n"/>
      <c r="G6" s="4" t="n"/>
    </row>
    <row r="7" ht="35" customHeight="1">
      <c r="A7" s="11" t="inlineStr">
        <is>
          <t>2.1</t>
        </is>
      </c>
      <c r="B7" s="22" t="inlineStr">
        <is>
          <t>PDB Toplam Akım</t>
        </is>
      </c>
      <c r="C7" s="11" t="inlineStr">
        <is>
          <t>I_PDB</t>
        </is>
      </c>
      <c r="D7" s="12" t="inlineStr">
        <is>
          <t>I_PDB = I_motor + I_avionics</t>
        </is>
      </c>
      <c r="E7" s="11" t="inlineStr">
        <is>
          <t>A</t>
        </is>
      </c>
      <c r="F7" s="11" t="inlineStr">
        <is>
          <t>Float</t>
        </is>
      </c>
      <c r="G7" s="12" t="inlineStr">
        <is>
          <t>I_PDB</t>
        </is>
      </c>
    </row>
    <row r="8" ht="35" customHeight="1">
      <c r="A8" s="18" t="inlineStr">
        <is>
          <t>2.2</t>
        </is>
      </c>
      <c r="B8" s="6" t="inlineStr">
        <is>
          <t>PDB Tasarım Akımı</t>
        </is>
      </c>
      <c r="C8" s="18" t="inlineStr">
        <is>
          <t>I_PDB_rated</t>
        </is>
      </c>
      <c r="D8" s="19" t="inlineStr">
        <is>
          <t>I_PDB_rated = I_PDB × 1.30</t>
        </is>
      </c>
      <c r="E8" s="18" t="inlineStr">
        <is>
          <t>A</t>
        </is>
      </c>
      <c r="F8" s="18" t="inlineStr">
        <is>
          <t>Float</t>
        </is>
      </c>
      <c r="G8" s="19" t="inlineStr">
        <is>
          <t>I_PDB_rated</t>
        </is>
      </c>
    </row>
    <row r="9" ht="35" customHeight="1">
      <c r="A9" s="11" t="inlineStr">
        <is>
          <t>2.3</t>
        </is>
      </c>
      <c r="B9" s="22" t="inlineStr">
        <is>
          <t>Sigorta Değeri</t>
        </is>
      </c>
      <c r="C9" s="11" t="inlineStr">
        <is>
          <t>I_fuse</t>
        </is>
      </c>
      <c r="D9" s="12" t="inlineStr">
        <is>
          <t>I_fuse = I_PDB_rated × 1.10</t>
        </is>
      </c>
      <c r="E9" s="11" t="inlineStr">
        <is>
          <t>A</t>
        </is>
      </c>
      <c r="F9" s="11" t="inlineStr">
        <is>
          <t>Float</t>
        </is>
      </c>
      <c r="G9" s="12" t="inlineStr">
        <is>
          <t>I_fuse</t>
        </is>
      </c>
    </row>
    <row r="10" ht="22" customHeight="1">
      <c r="A10" s="21" t="inlineStr">
        <is>
          <t xml:space="preserve">  ▶  ADIM 3: KABLO KESİTİ (AWG)</t>
        </is>
      </c>
      <c r="B10" s="4" t="n"/>
      <c r="C10" s="4" t="n"/>
      <c r="D10" s="4" t="n"/>
      <c r="E10" s="4" t="n"/>
      <c r="F10" s="4" t="n"/>
      <c r="G10" s="4" t="n"/>
    </row>
    <row r="11" ht="35" customHeight="1">
      <c r="A11" s="11" t="inlineStr">
        <is>
          <t>3.1</t>
        </is>
      </c>
      <c r="B11" s="22" t="inlineStr">
        <is>
          <t>Ana Hat AWG</t>
        </is>
      </c>
      <c r="C11" s="11" t="inlineStr">
        <is>
          <t>AWG_main</t>
        </is>
      </c>
      <c r="D11" s="12" t="inlineStr">
        <is>
          <t>A_mm2 = I_PDB_rated / 3.0 (J_max=3A/mm²)
AWG tablosundan en yakın standart</t>
        </is>
      </c>
      <c r="E11" s="11" t="inlineStr">
        <is>
          <t>mm²</t>
        </is>
      </c>
      <c r="F11" s="11" t="inlineStr">
        <is>
          <t>Float</t>
        </is>
      </c>
      <c r="G11" s="12" t="inlineStr">
        <is>
          <t>AWG_main</t>
        </is>
      </c>
    </row>
    <row r="12" ht="35" customHeight="1">
      <c r="A12" s="18" t="inlineStr">
        <is>
          <t>3.2</t>
        </is>
      </c>
      <c r="B12" s="6" t="inlineStr">
        <is>
          <t>Motor Hat AWG</t>
        </is>
      </c>
      <c r="C12" s="18" t="inlineStr">
        <is>
          <t>AWG_motor</t>
        </is>
      </c>
      <c r="D12" s="19" t="inlineStr">
        <is>
          <t>A_mm2 = I_per_motor / 3.0
AWG tablosu</t>
        </is>
      </c>
      <c r="E12" s="18" t="inlineStr">
        <is>
          <t>mm²</t>
        </is>
      </c>
      <c r="F12" s="18" t="inlineStr">
        <is>
          <t>Float</t>
        </is>
      </c>
      <c r="G12" s="19" t="inlineStr">
        <is>
          <t>AWG_motor</t>
        </is>
      </c>
    </row>
    <row r="13" ht="35" customHeight="1">
      <c r="A13" s="11" t="inlineStr">
        <is>
          <t>3.3</t>
        </is>
      </c>
      <c r="B13" s="22" t="inlineStr">
        <is>
          <t>Voltaj Düşüşü</t>
        </is>
      </c>
      <c r="C13" s="11" t="inlineStr">
        <is>
          <t>V_drop</t>
        </is>
      </c>
      <c r="D13" s="12" t="inlineStr">
        <is>
          <t>V_drop = I × R_kablo (≤ 0.5V)</t>
        </is>
      </c>
      <c r="E13" s="11" t="inlineStr">
        <is>
          <t>V</t>
        </is>
      </c>
      <c r="F13" s="11" t="inlineStr">
        <is>
          <t>Float</t>
        </is>
      </c>
      <c r="G13" s="12" t="inlineStr">
        <is>
          <t>V_drop</t>
        </is>
      </c>
    </row>
    <row r="14" ht="22" customHeight="1">
      <c r="A14" s="21" t="inlineStr">
        <is>
          <t xml:space="preserve">  ▶  ADIM 4: BEC SEÇİMİ</t>
        </is>
      </c>
      <c r="B14" s="4" t="n"/>
      <c r="C14" s="4" t="n"/>
      <c r="D14" s="4" t="n"/>
      <c r="E14" s="4" t="n"/>
      <c r="F14" s="4" t="n"/>
      <c r="G14" s="4" t="n"/>
    </row>
    <row r="15" ht="35" customHeight="1">
      <c r="A15" s="11" t="inlineStr">
        <is>
          <t>4.1</t>
        </is>
      </c>
      <c r="B15" s="22" t="inlineStr">
        <is>
          <t>5V BEC</t>
        </is>
      </c>
      <c r="C15" s="11" t="inlineStr">
        <is>
          <t>BEC_5V_A</t>
        </is>
      </c>
      <c r="D15" s="12" t="inlineStr">
        <is>
          <t>avionics_5V_A ≥ 3A; switching BEC tercih</t>
        </is>
      </c>
      <c r="E15" s="11" t="inlineStr">
        <is>
          <t>A</t>
        </is>
      </c>
      <c r="F15" s="11" t="inlineStr">
        <is>
          <t>Float</t>
        </is>
      </c>
      <c r="G15" s="12" t="inlineStr">
        <is>
          <t>BEC_5V</t>
        </is>
      </c>
    </row>
    <row r="16" ht="35" customHeight="1">
      <c r="A16" s="18" t="inlineStr">
        <is>
          <t>4.2</t>
        </is>
      </c>
      <c r="B16" s="6" t="inlineStr">
        <is>
          <t>12V BEC</t>
        </is>
      </c>
      <c r="C16" s="18" t="inlineStr">
        <is>
          <t>BEC_12V_A</t>
        </is>
      </c>
      <c r="D16" s="19" t="inlineStr">
        <is>
          <t>payload_12V_A ≥ 2A; opsiyonel</t>
        </is>
      </c>
      <c r="E16" s="18" t="inlineStr">
        <is>
          <t>A</t>
        </is>
      </c>
      <c r="F16" s="18" t="inlineStr">
        <is>
          <t>Float</t>
        </is>
      </c>
      <c r="G16" s="19" t="inlineStr">
        <is>
          <t>BEC_12V</t>
        </is>
      </c>
    </row>
    <row r="17" ht="22" customHeight="1">
      <c r="A17" s="21" t="inlineStr">
        <is>
          <t xml:space="preserve">  ▶  ADIM 5: ÇIKTI</t>
        </is>
      </c>
      <c r="B17" s="4" t="n"/>
      <c r="C17" s="4" t="n"/>
      <c r="D17" s="4" t="n"/>
      <c r="E17" s="4" t="n"/>
      <c r="F17" s="4" t="n"/>
      <c r="G17" s="4" t="n"/>
    </row>
    <row r="18" ht="35" customHeight="1">
      <c r="A18" s="18" t="inlineStr">
        <is>
          <t>5.1</t>
        </is>
      </c>
      <c r="B18" s="6" t="inlineStr">
        <is>
          <t>Pydantic</t>
        </is>
      </c>
      <c r="C18" s="18" t="inlineStr">
        <is>
          <t>pdb.json</t>
        </is>
      </c>
      <c r="D18" s="19" t="inlineStr">
        <is>
          <t>PDBResult(I_rating_A, AWG, fuse_A, BEC_5V,...,validation_passed)</t>
        </is>
      </c>
      <c r="E18" s="18" t="inlineStr">
        <is>
          <t>—</t>
        </is>
      </c>
      <c r="F18" s="18" t="inlineStr">
        <is>
          <t>Bool</t>
        </is>
      </c>
      <c r="G18" s="19" t="inlineStr">
        <is>
          <t>validation_passed</t>
        </is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</sheetData>
  <mergeCells count="6">
    <mergeCell ref="A14:G14"/>
    <mergeCell ref="A1:G1"/>
    <mergeCell ref="A17:G17"/>
    <mergeCell ref="A3:G3"/>
    <mergeCell ref="A6:G6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5" customWidth="1" min="2" max="2"/>
  </cols>
  <sheetData>
    <row r="1">
      <c r="A1" s="7" t="inlineStr">
        <is>
          <t>WBS — pdb_size.py</t>
        </is>
      </c>
      <c r="B1" s="4" t="n"/>
    </row>
    <row r="2" ht="16" customHeight="1">
      <c r="A2" s="23" t="inlineStr">
        <is>
          <t>1</t>
        </is>
      </c>
      <c r="B2" s="24" t="inlineStr">
        <is>
          <t># pdb_size.py -- WBS 4.5 | Güç Dağıtım Kartı (PDB) &amp; Kablolama</t>
        </is>
      </c>
    </row>
    <row r="3" ht="16" customHeight="1">
      <c r="A3" s="23" t="inlineStr">
        <is>
          <t>2</t>
        </is>
      </c>
      <c r="B3" s="24" t="inlineStr">
        <is>
          <t># Girdi: thrust_chain.json + bms.json + avionics_power_W</t>
        </is>
      </c>
    </row>
    <row r="4" ht="16" customHeight="1">
      <c r="A4" s="23" t="inlineStr">
        <is>
          <t>3</t>
        </is>
      </c>
      <c r="B4" s="24" t="inlineStr">
        <is>
          <t># Çıktı: pdb.json</t>
        </is>
      </c>
    </row>
    <row r="5" ht="16" customHeight="1">
      <c r="A5" s="23" t="inlineStr">
        <is>
          <t>4</t>
        </is>
      </c>
      <c r="B5" s="24" t="inlineStr">
        <is>
          <t># Standart: IEC 60364-7-712 | DO-160G §16 | MIL-W-22759</t>
        </is>
      </c>
    </row>
    <row r="6" ht="16" customHeight="1">
      <c r="A6" s="23" t="inlineStr">
        <is>
          <t>5</t>
        </is>
      </c>
      <c r="B6" s="25" t="inlineStr"/>
    </row>
    <row r="7" ht="16" customHeight="1">
      <c r="A7" s="23" t="inlineStr">
        <is>
          <t>6</t>
        </is>
      </c>
      <c r="B7" s="25" t="inlineStr">
        <is>
          <t>import json, math</t>
        </is>
      </c>
    </row>
    <row r="8" ht="16" customHeight="1">
      <c r="A8" s="23" t="inlineStr">
        <is>
          <t>7</t>
        </is>
      </c>
      <c r="B8" s="25" t="inlineStr">
        <is>
          <t>from pydantic import BaseModel, model_validator</t>
        </is>
      </c>
    </row>
    <row r="9" ht="16" customHeight="1">
      <c r="A9" s="23" t="inlineStr">
        <is>
          <t>8</t>
        </is>
      </c>
      <c r="B9" s="25" t="inlineStr"/>
    </row>
    <row r="10" ht="16" customHeight="1">
      <c r="A10" s="23" t="inlineStr">
        <is>
          <t>9</t>
        </is>
      </c>
      <c r="B10" s="25" t="inlineStr">
        <is>
          <t>tc   = json.load(open('thrust_chain.json'))</t>
        </is>
      </c>
    </row>
    <row r="11" ht="16" customHeight="1">
      <c r="A11" s="23" t="inlineStr">
        <is>
          <t>10</t>
        </is>
      </c>
      <c r="B11" s="25" t="inlineStr">
        <is>
          <t>bms_ = json.load(open('bms.json'))</t>
        </is>
      </c>
    </row>
    <row r="12" ht="16" customHeight="1">
      <c r="A12" s="23" t="inlineStr">
        <is>
          <t>11</t>
        </is>
      </c>
      <c r="B12" s="25" t="inlineStr">
        <is>
          <t>reqs = json.load(open('requirements.json'))</t>
        </is>
      </c>
    </row>
    <row r="13" ht="16" customHeight="1">
      <c r="A13" s="23" t="inlineStr">
        <is>
          <t>12</t>
        </is>
      </c>
      <c r="B13" s="25" t="inlineStr"/>
    </row>
    <row r="14" ht="16" customHeight="1">
      <c r="A14" s="23" t="inlineStr">
        <is>
          <t>13</t>
        </is>
      </c>
      <c r="B14" s="25" t="inlineStr">
        <is>
          <t>I_total       = tc['I_total_A']</t>
        </is>
      </c>
    </row>
    <row r="15" ht="16" customHeight="1">
      <c r="A15" s="23" t="inlineStr">
        <is>
          <t>14</t>
        </is>
      </c>
      <c r="B15" s="25" t="inlineStr">
        <is>
          <t>V_bat         = tc.get('V_bat_nom', 22.2)</t>
        </is>
      </c>
    </row>
    <row r="16" ht="16" customHeight="1">
      <c r="A16" s="23" t="inlineStr">
        <is>
          <t>15</t>
        </is>
      </c>
      <c r="B16" s="25" t="inlineStr">
        <is>
          <t>avionics_W    = reqs.get('avionics_power_W', 50)</t>
        </is>
      </c>
    </row>
    <row r="17" ht="16" customHeight="1">
      <c r="A17" s="23" t="inlineStr">
        <is>
          <t>16</t>
        </is>
      </c>
      <c r="B17" s="25" t="inlineStr">
        <is>
          <t>payload_12V_W = reqs.get('payload_12V_W', 24)</t>
        </is>
      </c>
    </row>
    <row r="18" ht="16" customHeight="1">
      <c r="A18" s="23" t="inlineStr">
        <is>
          <t>17</t>
        </is>
      </c>
      <c r="B18" s="25" t="inlineStr">
        <is>
          <t>J_MAX         = 3.0   # A/mm² havacılık sınırı</t>
        </is>
      </c>
    </row>
    <row r="19" ht="16" customHeight="1">
      <c r="A19" s="23" t="inlineStr">
        <is>
          <t>18</t>
        </is>
      </c>
      <c r="B19" s="25" t="inlineStr"/>
    </row>
    <row r="20" ht="16" customHeight="1">
      <c r="A20" s="23" t="inlineStr">
        <is>
          <t>19</t>
        </is>
      </c>
      <c r="B20" s="24" t="inlineStr">
        <is>
          <t># --- ADIM 2: PDB Akımı ---</t>
        </is>
      </c>
    </row>
    <row r="21" ht="16" customHeight="1">
      <c r="A21" s="23" t="inlineStr">
        <is>
          <t>20</t>
        </is>
      </c>
      <c r="B21" s="25" t="inlineStr">
        <is>
          <t>I_avionics   = avionics_W / V_bat</t>
        </is>
      </c>
    </row>
    <row r="22" ht="16" customHeight="1">
      <c r="A22" s="23" t="inlineStr">
        <is>
          <t>21</t>
        </is>
      </c>
      <c r="B22" s="25" t="inlineStr">
        <is>
          <t>I_PDB        = I_total + I_avionics</t>
        </is>
      </c>
    </row>
    <row r="23" ht="16" customHeight="1">
      <c r="A23" s="23" t="inlineStr">
        <is>
          <t>22</t>
        </is>
      </c>
      <c r="B23" s="25" t="inlineStr">
        <is>
          <t>I_PDB_rated  = I_PDB * 1.30</t>
        </is>
      </c>
    </row>
    <row r="24" ht="16" customHeight="1">
      <c r="A24" s="23" t="inlineStr">
        <is>
          <t>23</t>
        </is>
      </c>
      <c r="B24" s="25" t="inlineStr">
        <is>
          <t>I_fuse       = round(I_PDB_rated * 1.10, 0)</t>
        </is>
      </c>
    </row>
    <row r="25" ht="16" customHeight="1">
      <c r="A25" s="23" t="inlineStr">
        <is>
          <t>24</t>
        </is>
      </c>
      <c r="B25" s="25" t="inlineStr"/>
    </row>
    <row r="26" ht="16" customHeight="1">
      <c r="A26" s="23" t="inlineStr">
        <is>
          <t>25</t>
        </is>
      </c>
      <c r="B26" s="24" t="inlineStr">
        <is>
          <t># --- ADIM 3: AWG Seçimi ---</t>
        </is>
      </c>
    </row>
    <row r="27" ht="16" customHeight="1">
      <c r="A27" s="23" t="inlineStr">
        <is>
          <t>26</t>
        </is>
      </c>
      <c r="B27" s="24" t="inlineStr">
        <is>
          <t># AWG tablosu: (AWG, A_mm2, I_max)</t>
        </is>
      </c>
    </row>
    <row r="28" ht="16" customHeight="1">
      <c r="A28" s="23" t="inlineStr">
        <is>
          <t>27</t>
        </is>
      </c>
      <c r="B28" s="25" t="inlineStr">
        <is>
          <t>AWG_TABLE = [(8,8.37,50),(10,5.26,30),(12,3.31,20),(14,2.08,13),</t>
        </is>
      </c>
    </row>
    <row r="29" ht="16" customHeight="1">
      <c r="A29" s="23" t="inlineStr">
        <is>
          <t>28</t>
        </is>
      </c>
      <c r="B29" s="25" t="inlineStr">
        <is>
          <t xml:space="preserve">             (16,1.31,8),(18,0.82,5),(20,0.52,3),(22,0.33,1.5)]</t>
        </is>
      </c>
    </row>
    <row r="30" ht="16" customHeight="1">
      <c r="A30" s="23" t="inlineStr">
        <is>
          <t>29</t>
        </is>
      </c>
      <c r="B30" s="25" t="inlineStr"/>
    </row>
    <row r="31" ht="16" customHeight="1">
      <c r="A31" s="23" t="inlineStr">
        <is>
          <t>30</t>
        </is>
      </c>
      <c r="B31" s="25" t="inlineStr">
        <is>
          <t>def select_awg(I_required):</t>
        </is>
      </c>
    </row>
    <row r="32" ht="16" customHeight="1">
      <c r="A32" s="23" t="inlineStr">
        <is>
          <t>31</t>
        </is>
      </c>
      <c r="B32" s="25" t="inlineStr">
        <is>
          <t xml:space="preserve">    A_mm2_req = I_required / J_MAX</t>
        </is>
      </c>
    </row>
    <row r="33" ht="16" customHeight="1">
      <c r="A33" s="23" t="inlineStr">
        <is>
          <t>32</t>
        </is>
      </c>
      <c r="B33" s="25" t="inlineStr">
        <is>
          <t xml:space="preserve">    for awg, area, i_max in AWG_TABLE:</t>
        </is>
      </c>
    </row>
    <row r="34" ht="16" customHeight="1">
      <c r="A34" s="23" t="inlineStr">
        <is>
          <t>33</t>
        </is>
      </c>
      <c r="B34" s="25" t="inlineStr">
        <is>
          <t xml:space="preserve">        if area &gt;= A_mm2_req and i_max &gt;= I_required:</t>
        </is>
      </c>
    </row>
    <row r="35" ht="16" customHeight="1">
      <c r="A35" s="23" t="inlineStr">
        <is>
          <t>34</t>
        </is>
      </c>
      <c r="B35" s="25" t="inlineStr">
        <is>
          <t xml:space="preserve">            return awg, area</t>
        </is>
      </c>
    </row>
    <row r="36" ht="16" customHeight="1">
      <c r="A36" s="23" t="inlineStr">
        <is>
          <t>35</t>
        </is>
      </c>
      <c r="B36" s="25" t="inlineStr">
        <is>
          <t xml:space="preserve">    return 8, 8.37  # fallback en kalın</t>
        </is>
      </c>
    </row>
    <row r="37" ht="16" customHeight="1">
      <c r="A37" s="23" t="inlineStr">
        <is>
          <t>36</t>
        </is>
      </c>
      <c r="B37" s="25" t="inlineStr"/>
    </row>
    <row r="38" ht="16" customHeight="1">
      <c r="A38" s="23" t="inlineStr">
        <is>
          <t>37</t>
        </is>
      </c>
      <c r="B38" s="25" t="inlineStr">
        <is>
          <t>AWG_main, A_main_mm2  = select_awg(I_PDB_rated)</t>
        </is>
      </c>
    </row>
    <row r="39" ht="16" customHeight="1">
      <c r="A39" s="23" t="inlineStr">
        <is>
          <t>38</t>
        </is>
      </c>
      <c r="B39" s="25" t="inlineStr">
        <is>
          <t>AWG_motor, A_motor_mm2 = select_awg(I_total / max(tc.get('n_rotors',6),1))</t>
        </is>
      </c>
    </row>
    <row r="40" ht="16" customHeight="1">
      <c r="A40" s="23" t="inlineStr">
        <is>
          <t>39</t>
        </is>
      </c>
      <c r="B40" s="25" t="inlineStr"/>
    </row>
    <row r="41" ht="16" customHeight="1">
      <c r="A41" s="23" t="inlineStr">
        <is>
          <t>40</t>
        </is>
      </c>
      <c r="B41" s="24" t="inlineStr">
        <is>
          <t># Voltaj düşüşü (1m ana kablo varsayımı)</t>
        </is>
      </c>
    </row>
    <row r="42" ht="16" customHeight="1">
      <c r="A42" s="23" t="inlineStr">
        <is>
          <t>41</t>
        </is>
      </c>
      <c r="B42" s="25" t="inlineStr">
        <is>
          <t>R_per_m = {8:2.1,10:3.3,12:5.2,14:8.3,16:13.2,18:21.0,20:33.3,22:52.9}</t>
        </is>
      </c>
    </row>
    <row r="43" ht="16" customHeight="1">
      <c r="A43" s="23" t="inlineStr">
        <is>
          <t>42</t>
        </is>
      </c>
      <c r="B43" s="25" t="inlineStr">
        <is>
          <t>V_drop = I_PDB_rated * R_per_m.get(AWG_main,5.2) / 1000   # mΩ→Ω * 1m</t>
        </is>
      </c>
    </row>
    <row r="44" ht="16" customHeight="1">
      <c r="A44" s="23" t="inlineStr">
        <is>
          <t>43</t>
        </is>
      </c>
      <c r="B44" s="25" t="inlineStr"/>
    </row>
    <row r="45" ht="16" customHeight="1">
      <c r="A45" s="23" t="inlineStr">
        <is>
          <t>44</t>
        </is>
      </c>
      <c r="B45" s="24" t="inlineStr">
        <is>
          <t># --- ADIM 4: BEC ---</t>
        </is>
      </c>
    </row>
    <row r="46" ht="16" customHeight="1">
      <c r="A46" s="23" t="inlineStr">
        <is>
          <t>45</t>
        </is>
      </c>
      <c r="B46" s="25" t="inlineStr">
        <is>
          <t>BEC_5V_A  = max(3.0, avionics_W / 5.0)</t>
        </is>
      </c>
    </row>
    <row r="47" ht="16" customHeight="1">
      <c r="A47" s="23" t="inlineStr">
        <is>
          <t>46</t>
        </is>
      </c>
      <c r="B47" s="25" t="inlineStr">
        <is>
          <t>BEC_12V_A = max(2.0, payload_12V_W / 12.0)</t>
        </is>
      </c>
    </row>
    <row r="48" ht="16" customHeight="1">
      <c r="A48" s="23" t="inlineStr">
        <is>
          <t>47</t>
        </is>
      </c>
      <c r="B48" s="25" t="inlineStr"/>
    </row>
    <row r="49" ht="16" customHeight="1">
      <c r="A49" s="23" t="inlineStr">
        <is>
          <t>48</t>
        </is>
      </c>
      <c r="B49" s="24" t="inlineStr">
        <is>
          <t># --- Ağırlık ---</t>
        </is>
      </c>
    </row>
    <row r="50" ht="16" customHeight="1">
      <c r="A50" s="23" t="inlineStr">
        <is>
          <t>49</t>
        </is>
      </c>
      <c r="B50" s="25" t="inlineStr">
        <is>
          <t>weight_g = int(I_PDB_rated * 0.8 + 20)  # kaba tahmin</t>
        </is>
      </c>
    </row>
    <row r="51" ht="16" customHeight="1">
      <c r="A51" s="23" t="inlineStr">
        <is>
          <t>50</t>
        </is>
      </c>
      <c r="B51" s="25" t="inlineStr"/>
    </row>
    <row r="52" ht="16" customHeight="1">
      <c r="A52" s="23" t="inlineStr">
        <is>
          <t>51</t>
        </is>
      </c>
      <c r="B52" s="25" t="inlineStr">
        <is>
          <t>class PDBResult(BaseModel):</t>
        </is>
      </c>
    </row>
    <row r="53" ht="16" customHeight="1">
      <c r="A53" s="23" t="inlineStr">
        <is>
          <t>52</t>
        </is>
      </c>
      <c r="B53" s="25" t="inlineStr">
        <is>
          <t xml:space="preserve">    I_motor_A:    float</t>
        </is>
      </c>
    </row>
    <row r="54" ht="16" customHeight="1">
      <c r="A54" s="23" t="inlineStr">
        <is>
          <t>53</t>
        </is>
      </c>
      <c r="B54" s="25" t="inlineStr">
        <is>
          <t xml:space="preserve">    I_avionics_A: float</t>
        </is>
      </c>
    </row>
    <row r="55" ht="16" customHeight="1">
      <c r="A55" s="23" t="inlineStr">
        <is>
          <t>54</t>
        </is>
      </c>
      <c r="B55" s="25" t="inlineStr">
        <is>
          <t xml:space="preserve">    I_PDB_total:  float</t>
        </is>
      </c>
    </row>
    <row r="56" ht="16" customHeight="1">
      <c r="A56" s="23" t="inlineStr">
        <is>
          <t>55</t>
        </is>
      </c>
      <c r="B56" s="25" t="inlineStr">
        <is>
          <t xml:space="preserve">    I_PDB_rated:  float</t>
        </is>
      </c>
    </row>
    <row r="57" ht="16" customHeight="1">
      <c r="A57" s="23" t="inlineStr">
        <is>
          <t>56</t>
        </is>
      </c>
      <c r="B57" s="25" t="inlineStr">
        <is>
          <t xml:space="preserve">    I_fuse_A:     float</t>
        </is>
      </c>
    </row>
    <row r="58" ht="16" customHeight="1">
      <c r="A58" s="23" t="inlineStr">
        <is>
          <t>57</t>
        </is>
      </c>
      <c r="B58" s="25" t="inlineStr">
        <is>
          <t xml:space="preserve">    AWG_main:     int</t>
        </is>
      </c>
    </row>
    <row r="59" ht="16" customHeight="1">
      <c r="A59" s="23" t="inlineStr">
        <is>
          <t>58</t>
        </is>
      </c>
      <c r="B59" s="25" t="inlineStr">
        <is>
          <t xml:space="preserve">    AWG_motor:    int</t>
        </is>
      </c>
    </row>
    <row r="60" ht="16" customHeight="1">
      <c r="A60" s="23" t="inlineStr">
        <is>
          <t>59</t>
        </is>
      </c>
      <c r="B60" s="25" t="inlineStr">
        <is>
          <t xml:space="preserve">    V_drop_V:     float</t>
        </is>
      </c>
    </row>
    <row r="61" ht="16" customHeight="1">
      <c r="A61" s="23" t="inlineStr">
        <is>
          <t>60</t>
        </is>
      </c>
      <c r="B61" s="25" t="inlineStr">
        <is>
          <t xml:space="preserve">    BEC_5V_A:     float</t>
        </is>
      </c>
    </row>
    <row r="62" ht="16" customHeight="1">
      <c r="A62" s="23" t="inlineStr">
        <is>
          <t>61</t>
        </is>
      </c>
      <c r="B62" s="25" t="inlineStr">
        <is>
          <t xml:space="preserve">    BEC_12V_A:    float</t>
        </is>
      </c>
    </row>
    <row r="63" ht="16" customHeight="1">
      <c r="A63" s="23" t="inlineStr">
        <is>
          <t>62</t>
        </is>
      </c>
      <c r="B63" s="25" t="inlineStr">
        <is>
          <t xml:space="preserve">    weight_g:     int</t>
        </is>
      </c>
    </row>
    <row r="64" ht="16" customHeight="1">
      <c r="A64" s="23" t="inlineStr">
        <is>
          <t>63</t>
        </is>
      </c>
      <c r="B64" s="25" t="inlineStr">
        <is>
          <t xml:space="preserve">    J_check:      bool  # J ≤ 3 A/mm²</t>
        </is>
      </c>
    </row>
    <row r="65" ht="16" customHeight="1">
      <c r="A65" s="23" t="inlineStr">
        <is>
          <t>64</t>
        </is>
      </c>
      <c r="B65" s="25" t="inlineStr">
        <is>
          <t xml:space="preserve">    validation_passed: bool = True</t>
        </is>
      </c>
    </row>
    <row r="66" ht="16" customHeight="1">
      <c r="A66" s="23" t="inlineStr">
        <is>
          <t>65</t>
        </is>
      </c>
      <c r="B66" s="25" t="inlineStr"/>
    </row>
    <row r="67" ht="16" customHeight="1">
      <c r="A67" s="23" t="inlineStr">
        <is>
          <t>66</t>
        </is>
      </c>
      <c r="B67" s="25" t="inlineStr">
        <is>
          <t xml:space="preserve">    @model_validator(mode='after')</t>
        </is>
      </c>
    </row>
    <row r="68" ht="16" customHeight="1">
      <c r="A68" s="23" t="inlineStr">
        <is>
          <t>67</t>
        </is>
      </c>
      <c r="B68" s="25" t="inlineStr">
        <is>
          <t xml:space="preserve">    def check(self):</t>
        </is>
      </c>
    </row>
    <row r="69" ht="16" customHeight="1">
      <c r="A69" s="23" t="inlineStr">
        <is>
          <t>68</t>
        </is>
      </c>
      <c r="B69" s="25" t="inlineStr">
        <is>
          <t xml:space="preserve">        if not self.J_check:</t>
        </is>
      </c>
    </row>
    <row r="70" ht="16" customHeight="1">
      <c r="A70" s="23" t="inlineStr">
        <is>
          <t>69</t>
        </is>
      </c>
      <c r="B70" s="25" t="inlineStr">
        <is>
          <t xml:space="preserve">            raise ValueError(f'J_max aşıldı: AWG{self.AWG_main} yetersiz')</t>
        </is>
      </c>
    </row>
    <row r="71" ht="16" customHeight="1">
      <c r="A71" s="23" t="inlineStr">
        <is>
          <t>70</t>
        </is>
      </c>
      <c r="B71" s="25" t="inlineStr">
        <is>
          <t xml:space="preserve">        if self.V_drop_V &gt; 0.5:</t>
        </is>
      </c>
    </row>
    <row r="72" ht="16" customHeight="1">
      <c r="A72" s="23" t="inlineStr">
        <is>
          <t>71</t>
        </is>
      </c>
      <c r="B72" s="25" t="inlineStr">
        <is>
          <t xml:space="preserve">            raise ValueError(f'V_drop={self.V_drop_V:.2f}V &gt; 0.5V; AWG büyüt')</t>
        </is>
      </c>
    </row>
    <row r="73" ht="16" customHeight="1">
      <c r="A73" s="23" t="inlineStr">
        <is>
          <t>72</t>
        </is>
      </c>
      <c r="B73" s="25" t="inlineStr">
        <is>
          <t xml:space="preserve">        return self</t>
        </is>
      </c>
    </row>
    <row r="74" ht="16" customHeight="1">
      <c r="A74" s="23" t="inlineStr">
        <is>
          <t>73</t>
        </is>
      </c>
      <c r="B74" s="25" t="inlineStr"/>
    </row>
    <row r="75" ht="16" customHeight="1">
      <c r="A75" s="23" t="inlineStr">
        <is>
          <t>74</t>
        </is>
      </c>
      <c r="B75" s="25" t="inlineStr">
        <is>
          <t>result = PDBResult(</t>
        </is>
      </c>
    </row>
    <row r="76" ht="16" customHeight="1">
      <c r="A76" s="23" t="inlineStr">
        <is>
          <t>75</t>
        </is>
      </c>
      <c r="B76" s="25" t="inlineStr">
        <is>
          <t xml:space="preserve">    I_motor_A=round(I_total,1),</t>
        </is>
      </c>
    </row>
    <row r="77" ht="16" customHeight="1">
      <c r="A77" s="23" t="inlineStr">
        <is>
          <t>76</t>
        </is>
      </c>
      <c r="B77" s="25" t="inlineStr">
        <is>
          <t xml:space="preserve">    I_avionics_A=round(I_avionics,2),</t>
        </is>
      </c>
    </row>
    <row r="78" ht="16" customHeight="1">
      <c r="A78" s="23" t="inlineStr">
        <is>
          <t>77</t>
        </is>
      </c>
      <c r="B78" s="25" t="inlineStr">
        <is>
          <t xml:space="preserve">    I_PDB_total=round(I_PDB,1),</t>
        </is>
      </c>
    </row>
    <row r="79" ht="16" customHeight="1">
      <c r="A79" s="23" t="inlineStr">
        <is>
          <t>78</t>
        </is>
      </c>
      <c r="B79" s="25" t="inlineStr">
        <is>
          <t xml:space="preserve">    I_PDB_rated=round(I_PDB_rated,1),</t>
        </is>
      </c>
    </row>
    <row r="80" ht="16" customHeight="1">
      <c r="A80" s="23" t="inlineStr">
        <is>
          <t>79</t>
        </is>
      </c>
      <c r="B80" s="25" t="inlineStr">
        <is>
          <t xml:space="preserve">    I_fuse_A=I_fuse,</t>
        </is>
      </c>
    </row>
    <row r="81" ht="16" customHeight="1">
      <c r="A81" s="23" t="inlineStr">
        <is>
          <t>80</t>
        </is>
      </c>
      <c r="B81" s="25" t="inlineStr">
        <is>
          <t xml:space="preserve">    AWG_main=AWG_main,</t>
        </is>
      </c>
    </row>
    <row r="82" ht="16" customHeight="1">
      <c r="A82" s="23" t="inlineStr">
        <is>
          <t>81</t>
        </is>
      </c>
      <c r="B82" s="25" t="inlineStr">
        <is>
          <t xml:space="preserve">    AWG_motor=AWG_motor,</t>
        </is>
      </c>
    </row>
    <row r="83" ht="16" customHeight="1">
      <c r="A83" s="23" t="inlineStr">
        <is>
          <t>82</t>
        </is>
      </c>
      <c r="B83" s="25" t="inlineStr">
        <is>
          <t xml:space="preserve">    V_drop_V=round(V_drop,3),</t>
        </is>
      </c>
    </row>
    <row r="84" ht="16" customHeight="1">
      <c r="A84" s="23" t="inlineStr">
        <is>
          <t>83</t>
        </is>
      </c>
      <c r="B84" s="25" t="inlineStr">
        <is>
          <t xml:space="preserve">    BEC_5V_A=round(BEC_5V_A,1),</t>
        </is>
      </c>
    </row>
    <row r="85" ht="16" customHeight="1">
      <c r="A85" s="23" t="inlineStr">
        <is>
          <t>84</t>
        </is>
      </c>
      <c r="B85" s="25" t="inlineStr">
        <is>
          <t xml:space="preserve">    BEC_12V_A=round(BEC_12V_A,1),</t>
        </is>
      </c>
    </row>
    <row r="86" ht="16" customHeight="1">
      <c r="A86" s="23" t="inlineStr">
        <is>
          <t>85</t>
        </is>
      </c>
      <c r="B86" s="25" t="inlineStr">
        <is>
          <t xml:space="preserve">    weight_g=weight_g,</t>
        </is>
      </c>
    </row>
    <row r="87" ht="16" customHeight="1">
      <c r="A87" s="23" t="inlineStr">
        <is>
          <t>86</t>
        </is>
      </c>
      <c r="B87" s="25" t="inlineStr">
        <is>
          <t xml:space="preserve">    J_check=(A_main_mm2 * J_MAX &gt;= I_PDB_rated),</t>
        </is>
      </c>
    </row>
    <row r="88" ht="16" customHeight="1">
      <c r="A88" s="23" t="inlineStr">
        <is>
          <t>87</t>
        </is>
      </c>
      <c r="B88" s="25" t="inlineStr">
        <is>
          <t>)</t>
        </is>
      </c>
    </row>
    <row r="89" ht="16" customHeight="1">
      <c r="A89" s="23" t="inlineStr">
        <is>
          <t>88</t>
        </is>
      </c>
      <c r="B89" s="25" t="inlineStr">
        <is>
          <t>with open('pdb.json','w') as f:</t>
        </is>
      </c>
    </row>
    <row r="90" ht="16" customHeight="1">
      <c r="A90" s="23" t="inlineStr">
        <is>
          <t>89</t>
        </is>
      </c>
      <c r="B90" s="25" t="inlineStr">
        <is>
          <t xml:space="preserve">    f.write(result.model_dump_json(indent=2))</t>
        </is>
      </c>
    </row>
    <row r="91" ht="16" customHeight="1">
      <c r="A91" s="23" t="inlineStr">
        <is>
          <t>90</t>
        </is>
      </c>
      <c r="B91" s="25" t="inlineStr">
        <is>
          <t>print(f'✅ pdb.json → I_rated={I_PDB_rated:.0f}A | AWG{AWG_main} | {I_fuse:.0f}A sigorta | V_drop={V_drop*1000:.0f}mV')</t>
        </is>
      </c>
    </row>
    <row r="92">
      <c r="A92" s="4" t="n"/>
      <c r="B92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2026-05-28T15:46:58Z</dcterms:created>
  <dcterms:modified xmlns:dcterms="http://purl.org/dc/terms/" xmlns:xsi="http://www.w3.org/2001/XMLSchema-instance" xsi:type="dcterms:W3CDTF">2026-05-28T15:46:58Z</dcterms:modified>
</cp:coreProperties>
</file>