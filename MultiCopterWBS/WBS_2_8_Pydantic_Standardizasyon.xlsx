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2.8 KAPAK" sheetId="1" state="visible" r:id="rId3"/>
    <sheet name="Alan Dogrulama Tablosu" sheetId="2" state="visible" r:id="rId4"/>
    <sheet name="KK Kontrol Matrisi" sheetId="3" state="visible" r:id="rId5"/>
    <sheet name="phase 2 geometry Semasi" sheetId="4" state="visible" r:id="rId6"/>
    <sheet name="parse_vsp_mc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<sst xmlns="http://schemas.openxmlformats.org/spreadsheetml/2006/main" count="1061" uniqueCount="750">
  <si>
    <t xml:space="preserve">✅  WBS 2.8 — OpenVSP PYDANTIC CIKTI STANDARDiZASYONU
WBS 2.1-2.7 Tum Ciktilarini Birlestir | phase_2_geometry.json | Tam Dogrulama
Pydantic v2 | JARUS SORA OSO#07 | EASA SC-VTOL §2510 | Dahili Sema</t>
  </si>
  <si>
    <t xml:space="preserve">Faz / Kod:</t>
  </si>
  <si>
    <t xml:space="preserve">AŞAMA 2 — Konfigürasyon &amp; 3D Geometri  |  WBS 2.8  |  AŞAMA 2 KAPANIŞ</t>
  </si>
  <si>
    <t xml:space="preserve">Amac:</t>
  </si>
  <si>
    <t xml:space="preserve">WBS 2.1–2.7 tum JSON ciktilarini (config.json, geometry.json, yaw_balance.json, vsp_model.json, cad_model.json, cg_result.json, landing_gear.json) okuyarak tek bir birlesik Pydantic semasiyla dogrular; eksik veya ihlalli alanlar raporlanir; validation_passed=True ise phase_2_geometry.json uretilir ve ASAMA 3'e gecilir.</t>
  </si>
  <si>
    <t xml:space="preserve">Girdi:</t>
  </si>
  <si>
    <t xml:space="preserve">config.json (WBS 2.1)  |  geometry.json (WBS 2.2)  |  yaw_balance.json (WBS 2.3)  |  vsp_model.json (WBS 2.4)  |  cad_model.json (WBS 2.5)  |  cg_result.json (WBS 2.6)  |  landing_gear.json (WBS 2.7)</t>
  </si>
  <si>
    <t xml:space="preserve">LLM Script:</t>
  </si>
  <si>
    <t xml:space="preserve">parse_vsp_mc.py  (WBS 2.1-2.7 tum JSON'lari okur + Pydantic dogrulama)</t>
  </si>
  <si>
    <t xml:space="preserve">Cikti:</t>
  </si>
  <si>
    <t xml:space="preserve">phase_2_geometry.json: TUM WBS 2.x alanlari + validation_passed + kk_summary{KK-1..KK-10} + wbs_checklist{}</t>
  </si>
  <si>
    <t xml:space="preserve">Kabul Kriteri:</t>
  </si>
  <si>
    <t xml:space="preserve">validation_passed = True  |  yaw_balanced = True  |  Tum zorunlu alanlar dolu  |  Tum KK kontrolleri PASS  |  AŞAMA 3'e gecis onaylandi</t>
  </si>
  <si>
    <t xml:space="preserve">Sonraki WBS:</t>
  </si>
  <si>
    <t xml:space="preserve">WBS 3.1 Disk Loading &amp; Hover (phase_2_geometry.json → MTOW_final)  |  WBS 7.1 6-DOF Dinamik Model  |  WBS 14.6 SwFMEA  |  JARUS SORA OSO#07 konfigurasyon uyum kaniti</t>
  </si>
  <si>
    <t xml:space="preserve">Standartlar:</t>
  </si>
  <si>
    <t xml:space="preserve">Pydantic v2 (Python type validation)  |  JARUS SORA v2.5 OSO#07  |  EASA SC-VTOL §2510 (tasarim veri paketi)  |  DO-178C §6.3 (yazilim cikti standardi)  |  MIL-STD-31000B</t>
  </si>
  <si>
    <t xml:space="preserve">Versiyon:</t>
  </si>
  <si>
    <t xml:space="preserve">v4.0 — Nisan 2026 | WBS 2.8 Detay Rehberi | ASAMA 2 KAPANISI | 7 JSON → 1 Unified Schema</t>
  </si>
  <si>
    <t xml:space="preserve">  ZORUNLU — phase_2_geometry.json'da mutlaka dolu ve dogrulandi</t>
  </si>
  <si>
    <t xml:space="preserve">  ONERILEN — Kalite ve izlenebilirlik icin</t>
  </si>
  <si>
    <t xml:space="preserve">  UYARI — Bu alan bos ise ASAMA 3'e GECILMEZ</t>
  </si>
  <si>
    <t xml:space="preserve">SAYFA YAPISI:</t>
  </si>
  <si>
    <t xml:space="preserve">WBS 2.8 KAPAK</t>
  </si>
  <si>
    <t xml:space="preserve">Amac, girdi/cikti, standartlar, ASAMA 2 kapanisi</t>
  </si>
  <si>
    <t xml:space="preserve">Alan Dogrulama Tablosu</t>
  </si>
  <si>
    <t xml:space="preserve">WBS 2.1-2.7 her JSON'dan zorunlu alan listesi + KK ozeti</t>
  </si>
  <si>
    <t xml:space="preserve">KK Kontrol Matrisi</t>
  </si>
  <si>
    <t xml:space="preserve">KK-1..KK-10 tam kontrol + gecis/basarisizlik eylemleri</t>
  </si>
  <si>
    <t xml:space="preserve">phase_2_geometry Semasi</t>
  </si>
  <si>
    <t xml:space="preserve">Unified Pydantic semasi: tum sub-modeller dahil</t>
  </si>
  <si>
    <t xml:space="preserve">parse_vsp_mc.py</t>
  </si>
  <si>
    <t xml:space="preserve">Tam Python kodu — 7 JSON okuma + GeometryPhase2 dogrulama</t>
  </si>
  <si>
    <t xml:space="preserve">WBS 2.8 — WBS 2.1-2.7 ZORUNLU ALAN DOGRULAMA LiSTESi | phase_2_geometry.json</t>
  </si>
  <si>
    <t xml:space="preserve">ID</t>
  </si>
  <si>
    <t xml:space="preserve">Kaynak
(WBS)</t>
  </si>
  <si>
    <t xml:space="preserve">JSON Alani</t>
  </si>
  <si>
    <t xml:space="preserve">Tip / Kisit</t>
  </si>
  <si>
    <t xml:space="preserve">KK
Baglantisi</t>
  </si>
  <si>
    <t xml:space="preserve">Zorunluluk</t>
  </si>
  <si>
    <t xml:space="preserve">Kontrol
Kriteri</t>
  </si>
  <si>
    <t xml:space="preserve">Hata
Eylemi</t>
  </si>
  <si>
    <t xml:space="preserve">ASAMA 3</t>
  </si>
  <si>
    <t xml:space="preserve">F01</t>
  </si>
  <si>
    <t xml:space="preserve">WBS 2.1
config.json</t>
  </si>
  <si>
    <t xml:space="preserve">n_rotors</t>
  </si>
  <si>
    <t xml:space="preserve">Int {4,6,8,12,16,18,32}</t>
  </si>
  <si>
    <t xml:space="preserve">—</t>
  </si>
  <si>
    <t xml:space="preserve">ZORUNLU</t>
  </si>
  <si>
    <t xml:space="preserve">n &gt;= 4</t>
  </si>
  <si>
    <t xml:space="preserve">WBS 2.1 tekrar</t>
  </si>
  <si>
    <t xml:space="preserve">BLOKE</t>
  </si>
  <si>
    <t xml:space="preserve">F02</t>
  </si>
  <si>
    <t xml:space="preserve">WBS 2.1</t>
  </si>
  <si>
    <t xml:space="preserve">layout</t>
  </si>
  <si>
    <t xml:space="preserve">str (X-4,X-6 vb.)</t>
  </si>
  <si>
    <t xml:space="preserve">Gecerli layout tipi</t>
  </si>
  <si>
    <t xml:space="preserve">F03</t>
  </si>
  <si>
    <t xml:space="preserve">coaxial_flag</t>
  </si>
  <si>
    <t xml:space="preserve">bool</t>
  </si>
  <si>
    <t xml:space="preserve">bool tipinde</t>
  </si>
  <si>
    <t xml:space="preserve">F04</t>
  </si>
  <si>
    <t xml:space="preserve">rotation_dirs[]</t>
  </si>
  <si>
    <t xml:space="preserve">List[CW|CCW] len=n</t>
  </si>
  <si>
    <t xml:space="preserve">KK-13</t>
  </si>
  <si>
    <t xml:space="preserve">n_CW == n_CCW</t>
  </si>
  <si>
    <t xml:space="preserve">WBS 2.3 revize</t>
  </si>
  <si>
    <t xml:space="preserve">F05</t>
  </si>
  <si>
    <t xml:space="preserve">OEI_OK</t>
  </si>
  <si>
    <t xml:space="preserve">bool True</t>
  </si>
  <si>
    <t xml:space="preserve">KK-2</t>
  </si>
  <si>
    <t xml:space="preserve">T/W_OEI &gt;= 1.0</t>
  </si>
  <si>
    <t xml:space="preserve">WBS 2.1 revize</t>
  </si>
  <si>
    <t xml:space="preserve">F06</t>
  </si>
  <si>
    <t xml:space="preserve">WBS 2.2
geometry.json</t>
  </si>
  <si>
    <t xml:space="preserve">D_rotor_m</t>
  </si>
  <si>
    <t xml:space="preserve">float &gt; 0</t>
  </si>
  <si>
    <t xml:space="preserve">KK-4</t>
  </si>
  <si>
    <t xml:space="preserve">DL &lt;= 300 N/m2</t>
  </si>
  <si>
    <t xml:space="preserve">WBS 2.2 tekrar</t>
  </si>
  <si>
    <t xml:space="preserve">F07</t>
  </si>
  <si>
    <t xml:space="preserve">WBS 2.2</t>
  </si>
  <si>
    <t xml:space="preserve">wheelbase_m</t>
  </si>
  <si>
    <t xml:space="preserve">KK-8</t>
  </si>
  <si>
    <t xml:space="preserve">s/D &gt;= 1.10</t>
  </si>
  <si>
    <t xml:space="preserve">WBS 2.2 revize</t>
  </si>
  <si>
    <t xml:space="preserve">F08</t>
  </si>
  <si>
    <t xml:space="preserve">s_D_ratio</t>
  </si>
  <si>
    <t xml:space="preserve">float &gt;= 1.10</t>
  </si>
  <si>
    <t xml:space="preserve">&gt;= 1.10</t>
  </si>
  <si>
    <t xml:space="preserve">F09</t>
  </si>
  <si>
    <t xml:space="preserve">tip_clearance_m</t>
  </si>
  <si>
    <t xml:space="preserve">float &gt;= 0.05</t>
  </si>
  <si>
    <t xml:space="preserve">&gt;= 0.05 m</t>
  </si>
  <si>
    <t xml:space="preserve">F10</t>
  </si>
  <si>
    <t xml:space="preserve">arm_length_m</t>
  </si>
  <si>
    <t xml:space="preserve">&gt; 0</t>
  </si>
  <si>
    <t xml:space="preserve">F11</t>
  </si>
  <si>
    <t xml:space="preserve">motor_positions_m[]</t>
  </si>
  <si>
    <t xml:space="preserve">List[n×3 float]</t>
  </si>
  <si>
    <t xml:space="preserve">len == n_rotors</t>
  </si>
  <si>
    <t xml:space="preserve">WBS 2.1 guncelle</t>
  </si>
  <si>
    <t xml:space="preserve">F12</t>
  </si>
  <si>
    <t xml:space="preserve">WBS 2.3
yaw_balance.json</t>
  </si>
  <si>
    <t xml:space="preserve">Q_yaw_imbalance_Nm</t>
  </si>
  <si>
    <t xml:space="preserve">float</t>
  </si>
  <si>
    <t xml:space="preserve">|val| &lt;= 0.01 N*m</t>
  </si>
  <si>
    <t xml:space="preserve">F13</t>
  </si>
  <si>
    <t xml:space="preserve">WBS 2.3</t>
  </si>
  <si>
    <t xml:space="preserve">yaw_balanced_flag</t>
  </si>
  <si>
    <t xml:space="preserve">True</t>
  </si>
  <si>
    <t xml:space="preserve">F14</t>
  </si>
  <si>
    <t xml:space="preserve">rank_B</t>
  </si>
  <si>
    <t xml:space="preserve">int = 4</t>
  </si>
  <si>
    <t xml:space="preserve">Konfig. revize</t>
  </si>
  <si>
    <t xml:space="preserve">F15</t>
  </si>
  <si>
    <t xml:space="preserve">cond_B</t>
  </si>
  <si>
    <t xml:space="preserve">float &lt; 100</t>
  </si>
  <si>
    <t xml:space="preserve">&lt; 100</t>
  </si>
  <si>
    <t xml:space="preserve">WBS 7.2 optimize</t>
  </si>
  <si>
    <t xml:space="preserve">UYARI</t>
  </si>
  <si>
    <t xml:space="preserve">F16</t>
  </si>
  <si>
    <t xml:space="preserve">WBS 2.4
vsp_model.json</t>
  </si>
  <si>
    <t xml:space="preserve">n_disk_check</t>
  </si>
  <si>
    <t xml:space="preserve">n_disk == n_rotors</t>
  </si>
  <si>
    <t xml:space="preserve">WBS 2.4 tekrar</t>
  </si>
  <si>
    <t xml:space="preserve">F17</t>
  </si>
  <si>
    <t xml:space="preserve">WBS 2.4</t>
  </si>
  <si>
    <t xml:space="preserve">CG_m[]</t>
  </si>
  <si>
    <t xml:space="preserve">List[3 float]</t>
  </si>
  <si>
    <t xml:space="preserve">KK-7</t>
  </si>
  <si>
    <t xml:space="preserve">len == 3</t>
  </si>
  <si>
    <t xml:space="preserve">F18</t>
  </si>
  <si>
    <t xml:space="preserve">disk_area_m2</t>
  </si>
  <si>
    <t xml:space="preserve">F19</t>
  </si>
  <si>
    <t xml:space="preserve">vsp_file</t>
  </si>
  <si>
    <t xml:space="preserve">str 'mc.vsp3'</t>
  </si>
  <si>
    <t xml:space="preserve">Dosya mevcut</t>
  </si>
  <si>
    <t xml:space="preserve">F20</t>
  </si>
  <si>
    <t xml:space="preserve">WBS 2.5
cad_model.json</t>
  </si>
  <si>
    <t xml:space="preserve">EI_ok</t>
  </si>
  <si>
    <t xml:space="preserve">KK-6</t>
  </si>
  <si>
    <t xml:space="preserve">EI_actual &gt;= EI_min</t>
  </si>
  <si>
    <t xml:space="preserve">WBS 2.5 revize</t>
  </si>
  <si>
    <t xml:space="preserve">F21</t>
  </si>
  <si>
    <t xml:space="preserve">WBS 2.5</t>
  </si>
  <si>
    <t xml:space="preserve">D_out_m</t>
  </si>
  <si>
    <t xml:space="preserve">&gt; 0.016 m</t>
  </si>
  <si>
    <t xml:space="preserve">F22</t>
  </si>
  <si>
    <t xml:space="preserve">cad_valid</t>
  </si>
  <si>
    <t xml:space="preserve">solid.isValid()</t>
  </si>
  <si>
    <t xml:space="preserve">WBS 2.5 tekrar</t>
  </si>
  <si>
    <t xml:space="preserve">F23</t>
  </si>
  <si>
    <t xml:space="preserve">hinge_bolt_count</t>
  </si>
  <si>
    <t xml:space="preserve">int &gt;= 2 (fold=True)</t>
  </si>
  <si>
    <t xml:space="preserve">KOSULLU</t>
  </si>
  <si>
    <t xml:space="preserve">&gt;= 2 if fold</t>
  </si>
  <si>
    <t xml:space="preserve">F24</t>
  </si>
  <si>
    <t xml:space="preserve">WBS 2.6
cg_result.json</t>
  </si>
  <si>
    <t xml:space="preserve">KK7_all_pass</t>
  </si>
  <si>
    <t xml:space="preserve">WBS 2.6 revize</t>
  </si>
  <si>
    <t xml:space="preserve">F25</t>
  </si>
  <si>
    <t xml:space="preserve">WBS 2.6</t>
  </si>
  <si>
    <t xml:space="preserve">SM_percent</t>
  </si>
  <si>
    <t xml:space="preserve">float &gt;= 5</t>
  </si>
  <si>
    <t xml:space="preserve">&gt;= 5%</t>
  </si>
  <si>
    <t xml:space="preserve">F26</t>
  </si>
  <si>
    <t xml:space="preserve">payload_CG_ok</t>
  </si>
  <si>
    <t xml:space="preserve">envelope &lt;= 3 mm</t>
  </si>
  <si>
    <t xml:space="preserve">F27</t>
  </si>
  <si>
    <t xml:space="preserve">cg_converged</t>
  </si>
  <si>
    <t xml:space="preserve">WBS 2.6 tekrar</t>
  </si>
  <si>
    <t xml:space="preserve">F28</t>
  </si>
  <si>
    <t xml:space="preserve">WBS 2.7
landing_gear.json</t>
  </si>
  <si>
    <t xml:space="preserve">KK10_pass</t>
  </si>
  <si>
    <t xml:space="preserve">KK-10</t>
  </si>
  <si>
    <t xml:space="preserve">tipover &gt;= 30 deg</t>
  </si>
  <si>
    <t xml:space="preserve">WBS 2.7 revize</t>
  </si>
  <si>
    <t xml:space="preserve">F29</t>
  </si>
  <si>
    <t xml:space="preserve">WBS 2.7</t>
  </si>
  <si>
    <t xml:space="preserve">rotor_clearance_ok</t>
  </si>
  <si>
    <t xml:space="preserve">clearance &gt;= D*0.3</t>
  </si>
  <si>
    <t xml:space="preserve">F30</t>
  </si>
  <si>
    <t xml:space="preserve">F_contact_N</t>
  </si>
  <si>
    <t xml:space="preserve">WBS 2.7 tekrar</t>
  </si>
  <si>
    <t xml:space="preserve">WBS 2.8 — KK-1..KK-10 TAM KONTROL MATRiSi | ASAMA 2 KAPANIŞ KONTROL NOKTASI</t>
  </si>
  <si>
    <t xml:space="preserve">KK Kodu</t>
  </si>
  <si>
    <t xml:space="preserve">Parametre</t>
  </si>
  <si>
    <t xml:space="preserve">Limit</t>
  </si>
  <si>
    <t xml:space="preserve">Kontrol
Kaynagi</t>
  </si>
  <si>
    <t xml:space="preserve">WBS
Sorumlusu</t>
  </si>
  <si>
    <t xml:space="preserve">Pass Durumu</t>
  </si>
  <si>
    <t xml:space="preserve">Basarisizlik
Eylemi</t>
  </si>
  <si>
    <t xml:space="preserve">ASAMA 3
Etkisi</t>
  </si>
  <si>
    <t xml:space="preserve">KK-1</t>
  </si>
  <si>
    <t xml:space="preserve">T/W @ hover</t>
  </si>
  <si>
    <t xml:space="preserve">&gt;=2.0</t>
  </si>
  <si>
    <t xml:space="preserve">hover.json (WBS 3.1)
[Onay: WBS 2.8'de ön]</t>
  </si>
  <si>
    <t xml:space="preserve">WBS 3.9</t>
  </si>
  <si>
    <t xml:space="preserve">PASS / FAIL</t>
  </si>
  <si>
    <t xml:space="preserve">Motor guc artir</t>
  </si>
  <si>
    <t xml:space="preserve">Motor boyutlama bloke</t>
  </si>
  <si>
    <t xml:space="preserve">T/W @ OEI</t>
  </si>
  <si>
    <t xml:space="preserve">&gt;=1.0</t>
  </si>
  <si>
    <t xml:space="preserve">config.json OEI_OK</t>
  </si>
  <si>
    <t xml:space="preserve">n_rotors artir</t>
  </si>
  <si>
    <t xml:space="preserve">Gecis BLOKE</t>
  </si>
  <si>
    <t xml:space="preserve">KK-3</t>
  </si>
  <si>
    <t xml:space="preserve">Hover suresi</t>
  </si>
  <si>
    <t xml:space="preserve">&gt;=req×1.20</t>
  </si>
  <si>
    <t xml:space="preserve">requirements.json
batarya on tahmin</t>
  </si>
  <si>
    <t xml:space="preserve">WBS 4.1</t>
  </si>
  <si>
    <t xml:space="preserve">C_bat artir</t>
  </si>
  <si>
    <t xml:space="preserve">Batarya boyutlama uyarisi</t>
  </si>
  <si>
    <t xml:space="preserve">&lt;=300</t>
  </si>
  <si>
    <t xml:space="preserve">geometry.json
DL_actual_Nm2</t>
  </si>
  <si>
    <t xml:space="preserve">D_rotor artir</t>
  </si>
  <si>
    <t xml:space="preserve">Geometri bloke</t>
  </si>
  <si>
    <t xml:space="preserve">KK-5</t>
  </si>
  <si>
    <t xml:space="preserve">FM &gt;= 0.60</t>
  </si>
  <si>
    <t xml:space="preserve">&gt;=0.60</t>
  </si>
  <si>
    <t xml:space="preserve">bemt.json FM_actual
[WBS 3.2'de onaylanir]</t>
  </si>
  <si>
    <t xml:space="preserve">WBS 3.2</t>
  </si>
  <si>
    <t xml:space="preserve">PASS/bekliyor</t>
  </si>
  <si>
    <t xml:space="preserve">Kanat geometri opt.</t>
  </si>
  <si>
    <t xml:space="preserve">BEMT bloke</t>
  </si>
  <si>
    <t xml:space="preserve">Payload CG&lt;=3mm</t>
  </si>
  <si>
    <t xml:space="preserve">&lt;=3mm</t>
  </si>
  <si>
    <t xml:space="preserve">cg_result.json
payload_CG_ok</t>
  </si>
  <si>
    <t xml:space="preserve">Payload montaj ayarla</t>
  </si>
  <si>
    <t xml:space="preserve">CG sapma</t>
  </si>
  <si>
    <t xml:space="preserve">x,y&lt;=10mm
z&lt;=50mm</t>
  </si>
  <si>
    <t xml:space="preserve">cg_result.json
KK7_all_pass</t>
  </si>
  <si>
    <t xml:space="preserve">Batarya/payload konumla</t>
  </si>
  <si>
    <t xml:space="preserve">&gt;=1.10</t>
  </si>
  <si>
    <t xml:space="preserve">geometry.json
s_D_ratio</t>
  </si>
  <si>
    <t xml:space="preserve">WB artir</t>
  </si>
  <si>
    <t xml:space="preserve">KK-9</t>
  </si>
  <si>
    <t xml:space="preserve">Aviyonik BW</t>
  </si>
  <si>
    <t xml:space="preserve">&gt;=10 Hz</t>
  </si>
  <si>
    <t xml:space="preserve">Aviyonik spec
[WBS 8'de onay]</t>
  </si>
  <si>
    <t xml:space="preserve">WBS 8</t>
  </si>
  <si>
    <t xml:space="preserve">bekliyor</t>
  </si>
  <si>
    <t xml:space="preserve">IMU/FC degis</t>
  </si>
  <si>
    <t xml:space="preserve">WBS 8 bloke</t>
  </si>
  <si>
    <t xml:space="preserve">Devrilme acisi</t>
  </si>
  <si>
    <t xml:space="preserve">&gt;=30 deg</t>
  </si>
  <si>
    <t xml:space="preserve">landing_gear.json
KK10_pass</t>
  </si>
  <si>
    <t xml:space="preserve">Track artir</t>
  </si>
  <si>
    <t xml:space="preserve">KK-11</t>
  </si>
  <si>
    <t xml:space="preserve">Strüktür MS</t>
  </si>
  <si>
    <t xml:space="preserve">&gt;=1.5</t>
  </si>
  <si>
    <t xml:space="preserve">cad_model.json EI_ok
[WBS 6.1'de kesin]</t>
  </si>
  <si>
    <t xml:space="preserve">WBS 6.1</t>
  </si>
  <si>
    <t xml:space="preserve">ön-kontrol</t>
  </si>
  <si>
    <t xml:space="preserve">Kesit buyut</t>
  </si>
  <si>
    <t xml:space="preserve">WBS 6.1 bloke</t>
  </si>
  <si>
    <t xml:space="preserve">KK-12</t>
  </si>
  <si>
    <t xml:space="preserve">Motor sicaklik</t>
  </si>
  <si>
    <t xml:space="preserve">&lt;=T_max</t>
  </si>
  <si>
    <t xml:space="preserve">WBS 3.9 motor sec.
[WBS 3.9'da onay]</t>
  </si>
  <si>
    <t xml:space="preserve">Sogutma ekle</t>
  </si>
  <si>
    <t xml:space="preserve">WBS 3.9 bloke</t>
  </si>
  <si>
    <t xml:space="preserve">Yaw imbalance</t>
  </si>
  <si>
    <t xml:space="preserve">&lt;=0.01 N*m</t>
  </si>
  <si>
    <t xml:space="preserve">yaw_balance.json
yaw_OK_flag</t>
  </si>
  <si>
    <t xml:space="preserve">rotation_dirs revize</t>
  </si>
  <si>
    <t xml:space="preserve">WBS 2.8 — phase_2_geometry.json UNIFIED PYDANTIC SEMASI | GeometryPhase2</t>
  </si>
  <si>
    <t xml:space="preserve">A) CONFIG (WBS 2.1)</t>
  </si>
  <si>
    <t xml:space="preserve">  config.n_rotors</t>
  </si>
  <si>
    <t xml:space="preserve">int</t>
  </si>
  <si>
    <t xml:space="preserve">4-32</t>
  </si>
  <si>
    <t xml:space="preserve">  config.layout</t>
  </si>
  <si>
    <t xml:space="preserve">str</t>
  </si>
  <si>
    <t xml:space="preserve">X-4..DEP-ring</t>
  </si>
  <si>
    <t xml:space="preserve">  config.coaxial_flag</t>
  </si>
  <si>
    <t xml:space="preserve">  config.arm_fold_flag</t>
  </si>
  <si>
    <t xml:space="preserve">  config.rotation_dirs</t>
  </si>
  <si>
    <t xml:space="preserve">List[str]</t>
  </si>
  <si>
    <t xml:space="preserve">CW|CCW</t>
  </si>
  <si>
    <t xml:space="preserve">n_CW==n_CCW</t>
  </si>
  <si>
    <t xml:space="preserve">  config.OEI_OK</t>
  </si>
  <si>
    <t xml:space="preserve">  config.yaw_balanced_flag</t>
  </si>
  <si>
    <t xml:space="preserve">B) GEOMETRI (WBS 2.2)</t>
  </si>
  <si>
    <t xml:space="preserve">  geometry.D_rotor_m</t>
  </si>
  <si>
    <t xml:space="preserve">gt=0</t>
  </si>
  <si>
    <t xml:space="preserve">  geometry.wheelbase_m</t>
  </si>
  <si>
    <t xml:space="preserve">  geometry.s_D_ratio</t>
  </si>
  <si>
    <t xml:space="preserve">ge=1.10</t>
  </si>
  <si>
    <t xml:space="preserve">  geometry.tip_clearance_m</t>
  </si>
  <si>
    <t xml:space="preserve">ge=0.05</t>
  </si>
  <si>
    <t xml:space="preserve">  geometry.arm_length_m</t>
  </si>
  <si>
    <t xml:space="preserve">  geometry.hub_diam_m</t>
  </si>
  <si>
    <t xml:space="preserve">  geometry.DL_actual_Nm2</t>
  </si>
  <si>
    <t xml:space="preserve">le=300</t>
  </si>
  <si>
    <t xml:space="preserve">  geometry.motor_positions_m</t>
  </si>
  <si>
    <t xml:space="preserve">List[List[float]]</t>
  </si>
  <si>
    <t xml:space="preserve">n×3</t>
  </si>
  <si>
    <t xml:space="preserve">C) YAW DENGE (WBS 2.3)</t>
  </si>
  <si>
    <t xml:space="preserve">  yaw.Q_yaw_imbalance_Nm</t>
  </si>
  <si>
    <t xml:space="preserve">|val|&lt;=0.01</t>
  </si>
  <si>
    <t xml:space="preserve">  yaw.yaw_OK_flag</t>
  </si>
  <si>
    <t xml:space="preserve">  yaw.rank_B</t>
  </si>
  <si>
    <t xml:space="preserve">  yaw.cond_B</t>
  </si>
  <si>
    <t xml:space="preserve">lt=100</t>
  </si>
  <si>
    <t xml:space="preserve">D) VSP MODEL (WBS 2.4)</t>
  </si>
  <si>
    <t xml:space="preserve">  vsp.n_disk_check</t>
  </si>
  <si>
    <t xml:space="preserve">  vsp.disk_area_m2</t>
  </si>
  <si>
    <t xml:space="preserve">  vsp.CG_m</t>
  </si>
  <si>
    <t xml:space="preserve">List[float]</t>
  </si>
  <si>
    <t xml:space="preserve">len=3</t>
  </si>
  <si>
    <t xml:space="preserve">  vsp.vsp_file</t>
  </si>
  <si>
    <t xml:space="preserve">mc.vsp3</t>
  </si>
  <si>
    <t xml:space="preserve">E) CAD MODEL (WBS 2.5)</t>
  </si>
  <si>
    <t xml:space="preserve">  cad.D_out_m</t>
  </si>
  <si>
    <t xml:space="preserve">  cad.EI_ok</t>
  </si>
  <si>
    <t xml:space="preserve">KK-6 ön</t>
  </si>
  <si>
    <t xml:space="preserve">  cad.cad_valid</t>
  </si>
  <si>
    <t xml:space="preserve">  cad.m_arm_single_kg</t>
  </si>
  <si>
    <t xml:space="preserve">F) CG DOGRULAMA (WBS 2.6)</t>
  </si>
  <si>
    <t xml:space="preserve">  cg.CG_x_m</t>
  </si>
  <si>
    <t xml:space="preserve">  cg.CG_y_m</t>
  </si>
  <si>
    <t xml:space="preserve">  cg.CG_z_m</t>
  </si>
  <si>
    <t xml:space="preserve">|val|&lt;=0.05</t>
  </si>
  <si>
    <t xml:space="preserve">  cg.KK7_all_pass</t>
  </si>
  <si>
    <t xml:space="preserve">  cg.SM_percent</t>
  </si>
  <si>
    <t xml:space="preserve">ge=5</t>
  </si>
  <si>
    <t xml:space="preserve">  cg.payload_CG_ok</t>
  </si>
  <si>
    <t xml:space="preserve">G) INIS TAKIMI (WBS 2.7)</t>
  </si>
  <si>
    <t xml:space="preserve">  landing.KK10_pass</t>
  </si>
  <si>
    <t xml:space="preserve">  landing.tipover_angle_deg</t>
  </si>
  <si>
    <t xml:space="preserve">ge=30</t>
  </si>
  <si>
    <t xml:space="preserve">  landing.rotor_clearance_ok</t>
  </si>
  <si>
    <t xml:space="preserve">  landing.leg_height_m</t>
  </si>
  <si>
    <t xml:space="preserve">H) KAPANIŞ META</t>
  </si>
  <si>
    <t xml:space="preserve">  meta.validation_passed</t>
  </si>
  <si>
    <t xml:space="preserve">  meta.wbs_version</t>
  </si>
  <si>
    <t xml:space="preserve">v4.0</t>
  </si>
  <si>
    <t xml:space="preserve">ONERILEN</t>
  </si>
  <si>
    <t xml:space="preserve">  meta.kk_summary</t>
  </si>
  <si>
    <t xml:space="preserve">dict</t>
  </si>
  <si>
    <t xml:space="preserve">KK-1..13</t>
  </si>
  <si>
    <t xml:space="preserve">  meta.phase_2_complete</t>
  </si>
  <si>
    <t xml:space="preserve">WBS 2.8 — parse_vsp_mc.py | 7 JSON Okuma + Unified GeometryPhase2 | ASAMA 2 KAPANISI</t>
  </si>
  <si>
    <t xml:space="preserve">1</t>
  </si>
  <si>
    <t xml:space="preserve"># parse_vsp_mc.py -- WBS 2.8 | ASAMA 2 Cikti Standardizasyonu</t>
  </si>
  <si>
    <t xml:space="preserve">2</t>
  </si>
  <si>
    <t xml:space="preserve"># Girdi: config.json, geometry.json, yaw_balance.json, vsp_model.json,</t>
  </si>
  <si>
    <t xml:space="preserve">3</t>
  </si>
  <si>
    <t xml:space="preserve">#        cad_model.json, cg_result.json, landing_gear.json</t>
  </si>
  <si>
    <t xml:space="preserve">4</t>
  </si>
  <si>
    <t xml:space="preserve"># Cikti: phase_2_geometry.json (GeometryPhase2 Pydantic unified schema)</t>
  </si>
  <si>
    <t xml:space="preserve">5</t>
  </si>
  <si>
    <t xml:space="preserve">6</t>
  </si>
  <si>
    <t xml:space="preserve">import json</t>
  </si>
  <si>
    <t xml:space="preserve">7</t>
  </si>
  <si>
    <t xml:space="preserve">from pydantic import BaseModel, Field, validator</t>
  </si>
  <si>
    <t xml:space="preserve">8</t>
  </si>
  <si>
    <t xml:space="preserve">from typing import List, Dict, Optional</t>
  </si>
  <si>
    <t xml:space="preserve">9</t>
  </si>
  <si>
    <t xml:space="preserve">10</t>
  </si>
  <si>
    <t xml:space="preserve"># ── TUM JSON GiRDiLERi YUKLE ──────────────────────────────────────────────</t>
  </si>
  <si>
    <t xml:space="preserve">11</t>
  </si>
  <si>
    <t xml:space="preserve">def load(fname):</t>
  </si>
  <si>
    <t xml:space="preserve">12</t>
  </si>
  <si>
    <t xml:space="preserve">    try:</t>
  </si>
  <si>
    <t xml:space="preserve">13</t>
  </si>
  <si>
    <t xml:space="preserve">        return json.load(open(fname))</t>
  </si>
  <si>
    <t xml:space="preserve">14</t>
  </si>
  <si>
    <t xml:space="preserve">    except FileNotFoundError:</t>
  </si>
  <si>
    <t xml:space="preserve">15</t>
  </si>
  <si>
    <t xml:space="preserve">        raise FileNotFoundError(f'EKSIK: {fname} -- WBS ile uret!')</t>
  </si>
  <si>
    <t xml:space="preserve">16</t>
  </si>
  <si>
    <t xml:space="preserve">17</t>
  </si>
  <si>
    <t xml:space="preserve">cfg  = load('config.json')</t>
  </si>
  <si>
    <t xml:space="preserve">18</t>
  </si>
  <si>
    <t xml:space="preserve">geo  = load('geometry.json')</t>
  </si>
  <si>
    <t xml:space="preserve">19</t>
  </si>
  <si>
    <t xml:space="preserve">yaw  = load('yaw_balance.json')</t>
  </si>
  <si>
    <t xml:space="preserve">20</t>
  </si>
  <si>
    <t xml:space="preserve">vsp  = load('vsp_model.json')</t>
  </si>
  <si>
    <t xml:space="preserve">21</t>
  </si>
  <si>
    <t xml:space="preserve">cad  = load('cad_model.json')</t>
  </si>
  <si>
    <t xml:space="preserve">22</t>
  </si>
  <si>
    <t xml:space="preserve">cg   = load('cg_result.json')</t>
  </si>
  <si>
    <t xml:space="preserve">23</t>
  </si>
  <si>
    <t xml:space="preserve">lnd  = load('landing_gear.json')</t>
  </si>
  <si>
    <t xml:space="preserve">24</t>
  </si>
  <si>
    <t xml:space="preserve">25</t>
  </si>
  <si>
    <t xml:space="preserve"># ── SUB-MODEL SEMA TANIMLARI ──────────────────────────────────────────────</t>
  </si>
  <si>
    <t xml:space="preserve">26</t>
  </si>
  <si>
    <t xml:space="preserve">class ConfigSection(BaseModel):</t>
  </si>
  <si>
    <t xml:space="preserve">27</t>
  </si>
  <si>
    <t xml:space="preserve">    n_rotors:          int   = Field(..., ge=4, le=64)</t>
  </si>
  <si>
    <t xml:space="preserve">28</t>
  </si>
  <si>
    <t xml:space="preserve">    layout:            str</t>
  </si>
  <si>
    <t xml:space="preserve">29</t>
  </si>
  <si>
    <t xml:space="preserve">    coaxial_flag:      bool</t>
  </si>
  <si>
    <t xml:space="preserve">30</t>
  </si>
  <si>
    <t xml:space="preserve">    arm_fold_flag:     bool</t>
  </si>
  <si>
    <t xml:space="preserve">31</t>
  </si>
  <si>
    <t xml:space="preserve">    rotation_dirs:     List[str]</t>
  </si>
  <si>
    <t xml:space="preserve">32</t>
  </si>
  <si>
    <t xml:space="preserve">    OEI_OK:            bool</t>
  </si>
  <si>
    <t xml:space="preserve">33</t>
  </si>
  <si>
    <t xml:space="preserve">    yaw_balanced_flag: bool</t>
  </si>
  <si>
    <t xml:space="preserve">34</t>
  </si>
  <si>
    <t xml:space="preserve">35</t>
  </si>
  <si>
    <t xml:space="preserve">    @validator('rotation_dirs')</t>
  </si>
  <si>
    <t xml:space="preserve">36</t>
  </si>
  <si>
    <t xml:space="preserve">    def check_balance(cls, v):</t>
  </si>
  <si>
    <t xml:space="preserve">37</t>
  </si>
  <si>
    <t xml:space="preserve">        assert v.count('CW') == v.count('CCW'), 'CW != CCW sayisi -- KK-13!'</t>
  </si>
  <si>
    <t xml:space="preserve">38</t>
  </si>
  <si>
    <t xml:space="preserve">        return v</t>
  </si>
  <si>
    <t xml:space="preserve">39</t>
  </si>
  <si>
    <t xml:space="preserve">40</t>
  </si>
  <si>
    <t xml:space="preserve">    @validator('OEI_OK')</t>
  </si>
  <si>
    <t xml:space="preserve">41</t>
  </si>
  <si>
    <t xml:space="preserve">    def check_oei(cls, v):</t>
  </si>
  <si>
    <t xml:space="preserve">42</t>
  </si>
  <si>
    <t xml:space="preserve">        if not v: raise ValueError('OEI_OK=False -- KK-2 ihlali!')</t>
  </si>
  <si>
    <t xml:space="preserve">43</t>
  </si>
  <si>
    <t xml:space="preserve">44</t>
  </si>
  <si>
    <t xml:space="preserve">45</t>
  </si>
  <si>
    <t xml:space="preserve">class GeometrySection(BaseModel):</t>
  </si>
  <si>
    <t xml:space="preserve">46</t>
  </si>
  <si>
    <t xml:space="preserve">    D_rotor_m:         float = Field(..., gt=0)</t>
  </si>
  <si>
    <t xml:space="preserve">47</t>
  </si>
  <si>
    <t xml:space="preserve">    wheelbase_m:       float = Field(..., gt=0)</t>
  </si>
  <si>
    <t xml:space="preserve">48</t>
  </si>
  <si>
    <t xml:space="preserve">    s_D_ratio:         float = Field(..., ge=1.10)     # KK-8</t>
  </si>
  <si>
    <t xml:space="preserve">49</t>
  </si>
  <si>
    <t xml:space="preserve">    tip_clearance_m:   float = Field(..., ge=0.05)</t>
  </si>
  <si>
    <t xml:space="preserve">50</t>
  </si>
  <si>
    <t xml:space="preserve">    arm_length_m:      float = Field(..., gt=0)</t>
  </si>
  <si>
    <t xml:space="preserve">51</t>
  </si>
  <si>
    <t xml:space="preserve">    hub_diam_m:        float = Field(..., gt=0)</t>
  </si>
  <si>
    <t xml:space="preserve">52</t>
  </si>
  <si>
    <t xml:space="preserve">    DL_actual_Nm2:     float = Field(..., le=300.0)    # KK-4</t>
  </si>
  <si>
    <t xml:space="preserve">53</t>
  </si>
  <si>
    <t xml:space="preserve">    motor_positions_m: List[List[float]]</t>
  </si>
  <si>
    <t xml:space="preserve">54</t>
  </si>
  <si>
    <t xml:space="preserve">55</t>
  </si>
  <si>
    <t xml:space="preserve">class YawSection(BaseModel):</t>
  </si>
  <si>
    <t xml:space="preserve">56</t>
  </si>
  <si>
    <t xml:space="preserve">    Q_yaw_imbalance_Nm: float</t>
  </si>
  <si>
    <t xml:space="preserve">57</t>
  </si>
  <si>
    <t xml:space="preserve">    yaw_OK_flag:         bool</t>
  </si>
  <si>
    <t xml:space="preserve">58</t>
  </si>
  <si>
    <t xml:space="preserve">    rank_B:              int</t>
  </si>
  <si>
    <t xml:space="preserve">59</t>
  </si>
  <si>
    <t xml:space="preserve">    cond_B:              float</t>
  </si>
  <si>
    <t xml:space="preserve">60</t>
  </si>
  <si>
    <t xml:space="preserve">61</t>
  </si>
  <si>
    <t xml:space="preserve">    @validator('yaw_OK_flag')</t>
  </si>
  <si>
    <t xml:space="preserve">62</t>
  </si>
  <si>
    <t xml:space="preserve">    def check_kk13(cls, v, values):</t>
  </si>
  <si>
    <t xml:space="preserve">63</t>
  </si>
  <si>
    <t xml:space="preserve">        q = values.get('Q_yaw_imbalance_Nm', 999)</t>
  </si>
  <si>
    <t xml:space="preserve">64</t>
  </si>
  <si>
    <t xml:space="preserve">        if abs(q) &gt; 0.01: raise ValueError(f'KK-13: |Q_yaw|={abs(q):.4f} &gt; 0.01 N*m!')</t>
  </si>
  <si>
    <t xml:space="preserve">65</t>
  </si>
  <si>
    <t xml:space="preserve">66</t>
  </si>
  <si>
    <t xml:space="preserve">67</t>
  </si>
  <si>
    <t xml:space="preserve">    @validator('rank_B')</t>
  </si>
  <si>
    <t xml:space="preserve">68</t>
  </si>
  <si>
    <t xml:space="preserve">    def check_rank(cls, v):</t>
  </si>
  <si>
    <t xml:space="preserve">69</t>
  </si>
  <si>
    <t xml:space="preserve">        if v &lt; 4: raise ValueError(f'rank(B)={v} &lt; 4!')</t>
  </si>
  <si>
    <t xml:space="preserve">70</t>
  </si>
  <si>
    <t xml:space="preserve">71</t>
  </si>
  <si>
    <t xml:space="preserve">72</t>
  </si>
  <si>
    <t xml:space="preserve">class VSPSection(BaseModel):</t>
  </si>
  <si>
    <t xml:space="preserve">73</t>
  </si>
  <si>
    <t xml:space="preserve">    n_disk_check:  bool</t>
  </si>
  <si>
    <t xml:space="preserve">74</t>
  </si>
  <si>
    <t xml:space="preserve">    disk_area_m2:  float = Field(..., gt=0)</t>
  </si>
  <si>
    <t xml:space="preserve">75</t>
  </si>
  <si>
    <t xml:space="preserve">    CG_m:          List[float]</t>
  </si>
  <si>
    <t xml:space="preserve">76</t>
  </si>
  <si>
    <t xml:space="preserve">    vsp_file:      str</t>
  </si>
  <si>
    <t xml:space="preserve">77</t>
  </si>
  <si>
    <t xml:space="preserve">78</t>
  </si>
  <si>
    <t xml:space="preserve">    @validator('n_disk_check')</t>
  </si>
  <si>
    <t xml:space="preserve">79</t>
  </si>
  <si>
    <t xml:space="preserve">    def check_disk(cls, v):</t>
  </si>
  <si>
    <t xml:space="preserve">80</t>
  </si>
  <si>
    <t xml:space="preserve">        if not v: raise ValueError('n_disk != n_rotors!')</t>
  </si>
  <si>
    <t xml:space="preserve">81</t>
  </si>
  <si>
    <t xml:space="preserve">82</t>
  </si>
  <si>
    <t xml:space="preserve">83</t>
  </si>
  <si>
    <t xml:space="preserve">class CADSection(BaseModel):</t>
  </si>
  <si>
    <t xml:space="preserve">84</t>
  </si>
  <si>
    <t xml:space="preserve">    D_out_m:          float = Field(..., gt=0)</t>
  </si>
  <si>
    <t xml:space="preserve">85</t>
  </si>
  <si>
    <t xml:space="preserve">    EI_ok:            bool</t>
  </si>
  <si>
    <t xml:space="preserve">86</t>
  </si>
  <si>
    <t xml:space="preserve">    cad_valid:        bool</t>
  </si>
  <si>
    <t xml:space="preserve">87</t>
  </si>
  <si>
    <t xml:space="preserve">    m_arm_single_kg:  float = Field(..., gt=0)</t>
  </si>
  <si>
    <t xml:space="preserve">88</t>
  </si>
  <si>
    <t xml:space="preserve">89</t>
  </si>
  <si>
    <t xml:space="preserve">    @validator('EI_ok')</t>
  </si>
  <si>
    <t xml:space="preserve">90</t>
  </si>
  <si>
    <t xml:space="preserve">    def check_ei(cls, v):</t>
  </si>
  <si>
    <t xml:space="preserve">91</t>
  </si>
  <si>
    <t xml:space="preserve">        if not v: raise ValueError('EI_actual &lt; EI_min -- KK-6 on!')</t>
  </si>
  <si>
    <t xml:space="preserve">92</t>
  </si>
  <si>
    <t xml:space="preserve">93</t>
  </si>
  <si>
    <t xml:space="preserve">94</t>
  </si>
  <si>
    <t xml:space="preserve">class CGSection(BaseModel):</t>
  </si>
  <si>
    <t xml:space="preserve">95</t>
  </si>
  <si>
    <t xml:space="preserve">    CG_x_m:         float</t>
  </si>
  <si>
    <t xml:space="preserve">96</t>
  </si>
  <si>
    <t xml:space="preserve">    CG_y_m:         float</t>
  </si>
  <si>
    <t xml:space="preserve">97</t>
  </si>
  <si>
    <t xml:space="preserve">    CG_z_m:         float</t>
  </si>
  <si>
    <t xml:space="preserve">98</t>
  </si>
  <si>
    <t xml:space="preserve">    KK7_all_pass:   bool</t>
  </si>
  <si>
    <t xml:space="preserve">99</t>
  </si>
  <si>
    <t xml:space="preserve">    SM_percent:     float</t>
  </si>
  <si>
    <t xml:space="preserve">100</t>
  </si>
  <si>
    <t xml:space="preserve">    payload_CG_ok:  bool</t>
  </si>
  <si>
    <t xml:space="preserve">101</t>
  </si>
  <si>
    <t xml:space="preserve">102</t>
  </si>
  <si>
    <t xml:space="preserve">    @validator('KK7_all_pass')</t>
  </si>
  <si>
    <t xml:space="preserve">103</t>
  </si>
  <si>
    <t xml:space="preserve">    def check_kk7(cls, v, values):</t>
  </si>
  <si>
    <t xml:space="preserve">104</t>
  </si>
  <si>
    <t xml:space="preserve">        if not v:</t>
  </si>
  <si>
    <t xml:space="preserve">105</t>
  </si>
  <si>
    <t xml:space="preserve">            x=values.get('CG_x_m',0); y=values.get('CG_y_m',0); z=values.get('CG_z_m',0)</t>
  </si>
  <si>
    <t xml:space="preserve">106</t>
  </si>
  <si>
    <t xml:space="preserve">            raise ValueError(f'KK-7: CG=({x*1000:.1f},{y*1000:.1f},{z*1000:.1f}) mm')</t>
  </si>
  <si>
    <t xml:space="preserve">107</t>
  </si>
  <si>
    <t xml:space="preserve">108</t>
  </si>
  <si>
    <t xml:space="preserve">109</t>
  </si>
  <si>
    <t xml:space="preserve">    @validator('SM_percent')</t>
  </si>
  <si>
    <t xml:space="preserve">110</t>
  </si>
  <si>
    <t xml:space="preserve">    def check_sm(cls, v):</t>
  </si>
  <si>
    <t xml:space="preserve">111</t>
  </si>
  <si>
    <t xml:space="preserve">        if v &lt; 5.0: raise ValueError(f'SM={v:.1f}% &lt; 5%!')</t>
  </si>
  <si>
    <t xml:space="preserve">112</t>
  </si>
  <si>
    <t xml:space="preserve">113</t>
  </si>
  <si>
    <t xml:space="preserve">114</t>
  </si>
  <si>
    <t xml:space="preserve">    @validator('payload_CG_ok')</t>
  </si>
  <si>
    <t xml:space="preserve">115</t>
  </si>
  <si>
    <t xml:space="preserve">    def check_payload(cls, v):</t>
  </si>
  <si>
    <t xml:space="preserve">116</t>
  </si>
  <si>
    <t xml:space="preserve">        if not v: raise ValueError('Payload CG zarfi &gt; 3 mm -- KK-6!')</t>
  </si>
  <si>
    <t xml:space="preserve">117</t>
  </si>
  <si>
    <t xml:space="preserve">118</t>
  </si>
  <si>
    <t xml:space="preserve">119</t>
  </si>
  <si>
    <t xml:space="preserve">class LandingSection(BaseModel):</t>
  </si>
  <si>
    <t xml:space="preserve">120</t>
  </si>
  <si>
    <t xml:space="preserve">    KK10_pass:          bool</t>
  </si>
  <si>
    <t xml:space="preserve">121</t>
  </si>
  <si>
    <t xml:space="preserve">    tipover_angle_deg:  float = Field(..., ge=30.0)</t>
  </si>
  <si>
    <t xml:space="preserve">122</t>
  </si>
  <si>
    <t xml:space="preserve">    rotor_clearance_ok: bool</t>
  </si>
  <si>
    <t xml:space="preserve">123</t>
  </si>
  <si>
    <t xml:space="preserve">    leg_height_m:       float = Field(..., gt=0)</t>
  </si>
  <si>
    <t xml:space="preserve">124</t>
  </si>
  <si>
    <t xml:space="preserve">125</t>
  </si>
  <si>
    <t xml:space="preserve">    @validator('KK10_pass')</t>
  </si>
  <si>
    <t xml:space="preserve">126</t>
  </si>
  <si>
    <t xml:space="preserve">    def check_kk10(cls, v, values):</t>
  </si>
  <si>
    <t xml:space="preserve">127</t>
  </si>
  <si>
    <t xml:space="preserve">128</t>
  </si>
  <si>
    <t xml:space="preserve">            ang = values.get('tipover_angle_deg', 0)</t>
  </si>
  <si>
    <t xml:space="preserve">129</t>
  </si>
  <si>
    <t xml:space="preserve">            raise ValueError(f'KK-10: tipover={ang:.1f} deg &lt; 30!')</t>
  </si>
  <si>
    <t xml:space="preserve">130</t>
  </si>
  <si>
    <t xml:space="preserve">131</t>
  </si>
  <si>
    <t xml:space="preserve">132</t>
  </si>
  <si>
    <t xml:space="preserve"># ── UNIFIED UNIFIED ANA MODEL ─────────────────────────────────────────────</t>
  </si>
  <si>
    <t xml:space="preserve">133</t>
  </si>
  <si>
    <t xml:space="preserve">class GeometryPhase2(BaseModel):</t>
  </si>
  <si>
    <t xml:space="preserve">134</t>
  </si>
  <si>
    <t xml:space="preserve">    config:            ConfigSection</t>
  </si>
  <si>
    <t xml:space="preserve">135</t>
  </si>
  <si>
    <t xml:space="preserve">    geometry:          GeometrySection</t>
  </si>
  <si>
    <t xml:space="preserve">136</t>
  </si>
  <si>
    <t xml:space="preserve">    yaw:               YawSection</t>
  </si>
  <si>
    <t xml:space="preserve">137</t>
  </si>
  <si>
    <t xml:space="preserve">    vsp:               VSPSection</t>
  </si>
  <si>
    <t xml:space="preserve">138</t>
  </si>
  <si>
    <t xml:space="preserve">    cad:               CADSection</t>
  </si>
  <si>
    <t xml:space="preserve">139</t>
  </si>
  <si>
    <t xml:space="preserve">    cg:                CGSection</t>
  </si>
  <si>
    <t xml:space="preserve">140</t>
  </si>
  <si>
    <t xml:space="preserve">    landing:           LandingSection</t>
  </si>
  <si>
    <t xml:space="preserve">141</t>
  </si>
  <si>
    <t xml:space="preserve">    # Meta</t>
  </si>
  <si>
    <t xml:space="preserve">142</t>
  </si>
  <si>
    <t xml:space="preserve">    validation_passed: bool = True</t>
  </si>
  <si>
    <t xml:space="preserve">143</t>
  </si>
  <si>
    <t xml:space="preserve">    phase_2_complete:  bool = True</t>
  </si>
  <si>
    <t xml:space="preserve">144</t>
  </si>
  <si>
    <t xml:space="preserve">    wbs_version:       str  = "v4.0"</t>
  </si>
  <si>
    <t xml:space="preserve">145</t>
  </si>
  <si>
    <t xml:space="preserve">    kk_summary:        Dict[str, str] = {}</t>
  </si>
  <si>
    <t xml:space="preserve">146</t>
  </si>
  <si>
    <t xml:space="preserve">147</t>
  </si>
  <si>
    <t xml:space="preserve"># ── VERI BAGLAMA ──────────────────────────────────────────────────────────</t>
  </si>
  <si>
    <t xml:space="preserve">148</t>
  </si>
  <si>
    <t xml:space="preserve">result = GeometryPhase2(</t>
  </si>
  <si>
    <t xml:space="preserve">149</t>
  </si>
  <si>
    <t xml:space="preserve">    config  = ConfigSection(</t>
  </si>
  <si>
    <t xml:space="preserve">150</t>
  </si>
  <si>
    <t xml:space="preserve">        n_rotors         = cfg['n_rotors'],</t>
  </si>
  <si>
    <t xml:space="preserve">151</t>
  </si>
  <si>
    <t xml:space="preserve">        layout           = cfg['layout'],</t>
  </si>
  <si>
    <t xml:space="preserve">152</t>
  </si>
  <si>
    <t xml:space="preserve">        coaxial_flag     = cfg['coaxial_flag'],</t>
  </si>
  <si>
    <t xml:space="preserve">153</t>
  </si>
  <si>
    <t xml:space="preserve">        arm_fold_flag    = cfg.get('arm_fold_flag', False),</t>
  </si>
  <si>
    <t xml:space="preserve">154</t>
  </si>
  <si>
    <t xml:space="preserve">        rotation_dirs    = cfg['rotation_dirs'],</t>
  </si>
  <si>
    <t xml:space="preserve">155</t>
  </si>
  <si>
    <t xml:space="preserve">        OEI_OK           = cfg.get('OEI_OK', True),</t>
  </si>
  <si>
    <t xml:space="preserve">156</t>
  </si>
  <si>
    <t xml:space="preserve">        yaw_balanced_flag= cfg.get('yaw_balanced_flag', True),</t>
  </si>
  <si>
    <t xml:space="preserve">157</t>
  </si>
  <si>
    <t xml:space="preserve">    ),</t>
  </si>
  <si>
    <t xml:space="preserve">158</t>
  </si>
  <si>
    <t xml:space="preserve">    geometry = GeometrySection(</t>
  </si>
  <si>
    <t xml:space="preserve">159</t>
  </si>
  <si>
    <t xml:space="preserve">        D_rotor_m        = geo['D_rotor_m'],</t>
  </si>
  <si>
    <t xml:space="preserve">160</t>
  </si>
  <si>
    <t xml:space="preserve">        wheelbase_m      = geo['wheelbase_m'],</t>
  </si>
  <si>
    <t xml:space="preserve">161</t>
  </si>
  <si>
    <t xml:space="preserve">        s_D_ratio        = geo['s_D_ratio'],</t>
  </si>
  <si>
    <t xml:space="preserve">162</t>
  </si>
  <si>
    <t xml:space="preserve">        tip_clearance_m  = geo['tip_clearance_m'],</t>
  </si>
  <si>
    <t xml:space="preserve">163</t>
  </si>
  <si>
    <t xml:space="preserve">        arm_length_m     = geo['arm_length_m'],</t>
  </si>
  <si>
    <t xml:space="preserve">164</t>
  </si>
  <si>
    <t xml:space="preserve">        hub_diam_m       = geo['hub_diam_m'],</t>
  </si>
  <si>
    <t xml:space="preserve">165</t>
  </si>
  <si>
    <t xml:space="preserve">        DL_actual_Nm2    = geo['DL_actual_Nm2'],</t>
  </si>
  <si>
    <t xml:space="preserve">166</t>
  </si>
  <si>
    <t xml:space="preserve">        motor_positions_m= geo['motor_positions_m'],</t>
  </si>
  <si>
    <t xml:space="preserve">167</t>
  </si>
  <si>
    <t xml:space="preserve">168</t>
  </si>
  <si>
    <t xml:space="preserve">    yaw = YawSection(</t>
  </si>
  <si>
    <t xml:space="preserve">169</t>
  </si>
  <si>
    <t xml:space="preserve">        Q_yaw_imbalance_Nm = yaw['Q_yaw_imbalance_Nm'],</t>
  </si>
  <si>
    <t xml:space="preserve">170</t>
  </si>
  <si>
    <t xml:space="preserve">        yaw_OK_flag        = yaw['yaw_OK_flag'],</t>
  </si>
  <si>
    <t xml:space="preserve">171</t>
  </si>
  <si>
    <t xml:space="preserve">        rank_B             = yaw['rank_B'],</t>
  </si>
  <si>
    <t xml:space="preserve">172</t>
  </si>
  <si>
    <t xml:space="preserve">        cond_B             = yaw['cond_B'],</t>
  </si>
  <si>
    <t xml:space="preserve">173</t>
  </si>
  <si>
    <t xml:space="preserve">174</t>
  </si>
  <si>
    <t xml:space="preserve">    vsp = VSPSection(</t>
  </si>
  <si>
    <t xml:space="preserve">175</t>
  </si>
  <si>
    <t xml:space="preserve">        n_disk_check  = vsp['n_disk_check'],</t>
  </si>
  <si>
    <t xml:space="preserve">176</t>
  </si>
  <si>
    <t xml:space="preserve">        disk_area_m2  = vsp['disk_area_m2'],</t>
  </si>
  <si>
    <t xml:space="preserve">177</t>
  </si>
  <si>
    <t xml:space="preserve">        CG_m          = vsp['CG_m'],</t>
  </si>
  <si>
    <t xml:space="preserve">178</t>
  </si>
  <si>
    <t xml:space="preserve">        vsp_file      = vsp['vsp_file'],</t>
  </si>
  <si>
    <t xml:space="preserve">179</t>
  </si>
  <si>
    <t xml:space="preserve">180</t>
  </si>
  <si>
    <t xml:space="preserve">    cad = CADSection(</t>
  </si>
  <si>
    <t xml:space="preserve">181</t>
  </si>
  <si>
    <t xml:space="preserve">        D_out_m         = cad['D_out_m'],</t>
  </si>
  <si>
    <t xml:space="preserve">182</t>
  </si>
  <si>
    <t xml:space="preserve">        EI_ok           = cad['EI_ok'],</t>
  </si>
  <si>
    <t xml:space="preserve">183</t>
  </si>
  <si>
    <t xml:space="preserve">        cad_valid       = cad['cad_valid'],</t>
  </si>
  <si>
    <t xml:space="preserve">184</t>
  </si>
  <si>
    <t xml:space="preserve">        m_arm_single_kg = cad['m_arm_single_kg'],</t>
  </si>
  <si>
    <t xml:space="preserve">185</t>
  </si>
  <si>
    <t xml:space="preserve">186</t>
  </si>
  <si>
    <t xml:space="preserve">    cg = CGSection(</t>
  </si>
  <si>
    <t xml:space="preserve">187</t>
  </si>
  <si>
    <t xml:space="preserve">        CG_x_m        = cg['CG_x_m'],</t>
  </si>
  <si>
    <t xml:space="preserve">188</t>
  </si>
  <si>
    <t xml:space="preserve">        CG_y_m        = cg['CG_y_m'],</t>
  </si>
  <si>
    <t xml:space="preserve">189</t>
  </si>
  <si>
    <t xml:space="preserve">        CG_z_m        = cg['CG_z_m'],</t>
  </si>
  <si>
    <t xml:space="preserve">190</t>
  </si>
  <si>
    <t xml:space="preserve">        KK7_all_pass  = cg['KK7_all_pass'],</t>
  </si>
  <si>
    <t xml:space="preserve">191</t>
  </si>
  <si>
    <t xml:space="preserve">        SM_percent    = cg['SM_percent'],</t>
  </si>
  <si>
    <t xml:space="preserve">192</t>
  </si>
  <si>
    <t xml:space="preserve">        payload_CG_ok = cg['payload_CG_ok'],</t>
  </si>
  <si>
    <t xml:space="preserve">193</t>
  </si>
  <si>
    <t xml:space="preserve">194</t>
  </si>
  <si>
    <t xml:space="preserve">    landing = LandingSection(</t>
  </si>
  <si>
    <t xml:space="preserve">195</t>
  </si>
  <si>
    <t xml:space="preserve">        KK10_pass         = lnd['KK10_pass'],</t>
  </si>
  <si>
    <t xml:space="preserve">196</t>
  </si>
  <si>
    <t xml:space="preserve">        tipover_angle_deg = lnd['tipover_angle_deg'],</t>
  </si>
  <si>
    <t xml:space="preserve">197</t>
  </si>
  <si>
    <t xml:space="preserve">        rotor_clearance_ok= lnd['rotor_clearance_ok'],</t>
  </si>
  <si>
    <t xml:space="preserve">198</t>
  </si>
  <si>
    <t xml:space="preserve">        leg_height_m      = lnd['leg_height_m'],</t>
  </si>
  <si>
    <t xml:space="preserve">199</t>
  </si>
  <si>
    <t xml:space="preserve">200</t>
  </si>
  <si>
    <t xml:space="preserve">    kk_summary = {</t>
  </si>
  <si>
    <t xml:space="preserve">201</t>
  </si>
  <si>
    <t xml:space="preserve">        'KK-2':  'PASS' if cfg.get('OEI_OK') else 'FAIL',</t>
  </si>
  <si>
    <t xml:space="preserve">202</t>
  </si>
  <si>
    <t xml:space="preserve">        'KK-4':  'PASS' if geo['DL_actual_Nm2'] &lt;= 300 else 'FAIL',</t>
  </si>
  <si>
    <t xml:space="preserve">203</t>
  </si>
  <si>
    <t xml:space="preserve">        'KK-6':  'PASS' if cad['EI_ok'] and cg['payload_CG_ok'] else 'FAIL',</t>
  </si>
  <si>
    <t xml:space="preserve">204</t>
  </si>
  <si>
    <t xml:space="preserve">        'KK-7':  'PASS' if cg['KK7_all_pass'] else 'FAIL',</t>
  </si>
  <si>
    <t xml:space="preserve">205</t>
  </si>
  <si>
    <t xml:space="preserve">        'KK-8':  'PASS' if geo['s_D_ratio'] &gt;= 1.10 else 'FAIL',</t>
  </si>
  <si>
    <t xml:space="preserve">206</t>
  </si>
  <si>
    <t xml:space="preserve">        'KK-10': 'PASS' if lnd['KK10_pass'] else 'FAIL',</t>
  </si>
  <si>
    <t xml:space="preserve">207</t>
  </si>
  <si>
    <t xml:space="preserve">        'KK-13': 'PASS' if yaw['yaw_OK_flag'] else 'FAIL',</t>
  </si>
  <si>
    <t xml:space="preserve">208</t>
  </si>
  <si>
    <t xml:space="preserve">    },</t>
  </si>
  <si>
    <t xml:space="preserve">209</t>
  </si>
  <si>
    <t xml:space="preserve">    validation_passed = True,</t>
  </si>
  <si>
    <t xml:space="preserve">210</t>
  </si>
  <si>
    <t xml:space="preserve">    phase_2_complete  = True,</t>
  </si>
  <si>
    <t xml:space="preserve">211</t>
  </si>
  <si>
    <t xml:space="preserve">)</t>
  </si>
  <si>
    <t xml:space="preserve">212</t>
  </si>
  <si>
    <t xml:space="preserve">213</t>
  </si>
  <si>
    <t xml:space="preserve">json.dump(result.dict(), open('phase_2_geometry.json','w'), ensure_ascii=False, indent=2)</t>
  </si>
  <si>
    <t xml:space="preserve">214</t>
  </si>
  <si>
    <t xml:space="preserve">print('ASAMA 2 TAMAMLANDI -- phase_2_geometry.json uretildi')</t>
  </si>
  <si>
    <t xml:space="preserve">215</t>
  </si>
  <si>
    <t xml:space="preserve">print(f'  n_rotors={result.config.n_rotors} | layout={result.config.layout}')</t>
  </si>
  <si>
    <t xml:space="preserve">216</t>
  </si>
  <si>
    <t xml:space="preserve">print(f'  D_rotor={result.geometry.D_rotor_m:.3f}m | WB={result.geometry.wheelbase_m:.3f}m')</t>
  </si>
  <si>
    <t xml:space="preserve">217</t>
  </si>
  <si>
    <t xml:space="preserve">print(f'  KK ozeti: {result.kk_summary}')</t>
  </si>
  <si>
    <t xml:space="preserve">218</t>
  </si>
  <si>
    <t xml:space="preserve">print(f'  validation_passed={result.validation_passed} | phase_2_complete={result.phase_2_complete}')</t>
  </si>
  <si>
    <t xml:space="preserve">219</t>
  </si>
  <si>
    <t xml:space="preserve">print()</t>
  </si>
  <si>
    <t xml:space="preserve">220</t>
  </si>
  <si>
    <t xml:space="preserve">print('--&gt; WBS 3.1 hover_momentum.py (phase_2_geometry.json --&gt; MTOW_final ile)')</t>
  </si>
  <si>
    <t xml:space="preserve">221</t>
  </si>
  <si>
    <t xml:space="preserve">print('--&gt; WBS 7.1 dynamics_6dof.py (geometri + kütlelerle)')</t>
  </si>
  <si>
    <t xml:space="preserve">222</t>
  </si>
  <si>
    <t xml:space="preserve">print('--&gt; JARUS SORA OSO#07 konfigurasyon uyumu kaniti')</t>
  </si>
  <si>
    <t xml:space="preserve">223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</si>
</sst>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b val="true"/>
      <sz val="9"/>
      <color rgb="FF0F3460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E94560"/>
        <bgColor rgb="FFFF4444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FF4444"/>
        <bgColor rgb="FFE94560"/>
      </patternFill>
    </fill>
    <fill>
      <patternFill patternType="solid">
        <fgColor rgb="FFFEF9E7"/>
        <bgColor rgb="FFFDF2E9"/>
      </patternFill>
    </fill>
    <fill>
      <patternFill patternType="solid">
        <fgColor rgb="FFEAFAF1"/>
        <bgColor rgb="FFE8F8F5"/>
      </patternFill>
    </fill>
    <fill>
      <patternFill patternType="solid">
        <fgColor rgb="FFF9EBEA"/>
        <bgColor rgb="FFF5EEF8"/>
      </patternFill>
    </fill>
    <fill>
      <patternFill patternType="solid">
        <fgColor rgb="FFF5EEF8"/>
        <bgColor rgb="FFF5F5F5"/>
      </patternFill>
    </fill>
    <fill>
      <patternFill patternType="solid">
        <fgColor rgb="FFFDF2E9"/>
        <bgColor rgb="FFFEF9E7"/>
      </patternFill>
    </fill>
    <fill>
      <patternFill patternType="solid">
        <fgColor rgb="FFE8F8F5"/>
        <bgColor rgb="FFEAFAF1"/>
      </patternFill>
    </fill>
    <fill>
      <patternFill patternType="solid">
        <fgColor rgb="FFD5E8F3"/>
        <bgColor rgb="FFEAF2FB"/>
      </patternFill>
    </fill>
    <fill>
      <patternFill patternType="solid">
        <fgColor rgb="FF06BCC1"/>
        <bgColor rgb="FF33CCCC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2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E94560"/>
      <rgbColor rgb="FFFEF9E7"/>
      <rgbColor rgb="FFE8F8F5"/>
      <rgbColor rgb="FF660066"/>
      <rgbColor rgb="FFFF8080"/>
      <rgbColor rgb="FF0066CC"/>
      <rgbColor rgb="FFD5E8F3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6BCC1"/>
      <rgbColor rgb="FFEAFAF1"/>
      <rgbColor rgb="FFEBF5FB"/>
      <rgbColor rgb="FFFDF2E9"/>
      <rgbColor rgb="FFEAF2FB"/>
      <rgbColor rgb="FFF9EBEA"/>
      <rgbColor rgb="FFF5EEF8"/>
      <rgbColor rgb="FFFFD166"/>
      <rgbColor rgb="FF3366FF"/>
      <rgbColor rgb="FF33CCCC"/>
      <rgbColor rgb="FF99CC00"/>
      <rgbColor rgb="FFFFCC00"/>
      <rgbColor rgb="FFFF9900"/>
      <rgbColor rgb="FFFF4444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31</v>
      </c>
      <c r="C18" s="10" t="s">
        <v>32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39.75" hidden="false" customHeight="true" outlineLevel="0" collapsed="false">
      <c r="A1" s="11" t="s">
        <v>33</v>
      </c>
      <c r="B1" s="11"/>
      <c r="C1" s="11"/>
      <c r="D1" s="11"/>
      <c r="E1" s="11"/>
      <c r="F1" s="11"/>
      <c r="G1" s="11"/>
      <c r="H1" s="11"/>
      <c r="I1" s="11"/>
    </row>
    <row r="2" customFormat="false" ht="30" hidden="false" customHeight="true" outlineLevel="0" collapsed="false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</row>
    <row r="3" customFormat="false" ht="31.5" hidden="false" customHeight="true" outlineLevel="0" collapsed="false">
      <c r="A3" s="13" t="s">
        <v>43</v>
      </c>
      <c r="B3" s="14" t="s">
        <v>44</v>
      </c>
      <c r="C3" s="14" t="s">
        <v>45</v>
      </c>
      <c r="D3" s="14" t="s">
        <v>46</v>
      </c>
      <c r="E3" s="13" t="s">
        <v>47</v>
      </c>
      <c r="F3" s="15" t="s">
        <v>48</v>
      </c>
      <c r="G3" s="14" t="s">
        <v>49</v>
      </c>
      <c r="H3" s="14" t="s">
        <v>50</v>
      </c>
      <c r="I3" s="16" t="s">
        <v>51</v>
      </c>
    </row>
    <row r="4" customFormat="false" ht="31.5" hidden="false" customHeight="true" outlineLevel="0" collapsed="false">
      <c r="A4" s="13" t="s">
        <v>52</v>
      </c>
      <c r="B4" s="14" t="s">
        <v>53</v>
      </c>
      <c r="C4" s="14" t="s">
        <v>54</v>
      </c>
      <c r="D4" s="14" t="s">
        <v>55</v>
      </c>
      <c r="E4" s="13" t="s">
        <v>47</v>
      </c>
      <c r="F4" s="15" t="s">
        <v>48</v>
      </c>
      <c r="G4" s="14" t="s">
        <v>56</v>
      </c>
      <c r="H4" s="14" t="s">
        <v>50</v>
      </c>
      <c r="I4" s="16" t="s">
        <v>51</v>
      </c>
    </row>
    <row r="5" customFormat="false" ht="31.5" hidden="false" customHeight="true" outlineLevel="0" collapsed="false">
      <c r="A5" s="13" t="s">
        <v>57</v>
      </c>
      <c r="B5" s="14" t="s">
        <v>53</v>
      </c>
      <c r="C5" s="14" t="s">
        <v>58</v>
      </c>
      <c r="D5" s="14" t="s">
        <v>59</v>
      </c>
      <c r="E5" s="13" t="s">
        <v>47</v>
      </c>
      <c r="F5" s="15" t="s">
        <v>48</v>
      </c>
      <c r="G5" s="14" t="s">
        <v>60</v>
      </c>
      <c r="H5" s="14" t="s">
        <v>50</v>
      </c>
      <c r="I5" s="16" t="s">
        <v>51</v>
      </c>
    </row>
    <row r="6" customFormat="false" ht="31.5" hidden="false" customHeight="true" outlineLevel="0" collapsed="false">
      <c r="A6" s="13" t="s">
        <v>61</v>
      </c>
      <c r="B6" s="14" t="s">
        <v>53</v>
      </c>
      <c r="C6" s="14" t="s">
        <v>62</v>
      </c>
      <c r="D6" s="14" t="s">
        <v>63</v>
      </c>
      <c r="E6" s="13" t="s">
        <v>64</v>
      </c>
      <c r="F6" s="15" t="s">
        <v>48</v>
      </c>
      <c r="G6" s="14" t="s">
        <v>65</v>
      </c>
      <c r="H6" s="14" t="s">
        <v>66</v>
      </c>
      <c r="I6" s="16" t="s">
        <v>51</v>
      </c>
    </row>
    <row r="7" customFormat="false" ht="31.5" hidden="false" customHeight="true" outlineLevel="0" collapsed="false">
      <c r="A7" s="13" t="s">
        <v>67</v>
      </c>
      <c r="B7" s="14" t="s">
        <v>53</v>
      </c>
      <c r="C7" s="14" t="s">
        <v>68</v>
      </c>
      <c r="D7" s="14" t="s">
        <v>69</v>
      </c>
      <c r="E7" s="13" t="s">
        <v>70</v>
      </c>
      <c r="F7" s="15" t="s">
        <v>48</v>
      </c>
      <c r="G7" s="14" t="s">
        <v>71</v>
      </c>
      <c r="H7" s="14" t="s">
        <v>72</v>
      </c>
      <c r="I7" s="16" t="s">
        <v>51</v>
      </c>
    </row>
    <row r="8" customFormat="false" ht="31.5" hidden="false" customHeight="true" outlineLevel="0" collapsed="false">
      <c r="A8" s="17" t="s">
        <v>73</v>
      </c>
      <c r="B8" s="18" t="s">
        <v>74</v>
      </c>
      <c r="C8" s="18" t="s">
        <v>75</v>
      </c>
      <c r="D8" s="18" t="s">
        <v>76</v>
      </c>
      <c r="E8" s="17" t="s">
        <v>77</v>
      </c>
      <c r="F8" s="15" t="s">
        <v>48</v>
      </c>
      <c r="G8" s="18" t="s">
        <v>78</v>
      </c>
      <c r="H8" s="18" t="s">
        <v>79</v>
      </c>
      <c r="I8" s="16" t="s">
        <v>51</v>
      </c>
    </row>
    <row r="9" customFormat="false" ht="31.5" hidden="false" customHeight="true" outlineLevel="0" collapsed="false">
      <c r="A9" s="17" t="s">
        <v>80</v>
      </c>
      <c r="B9" s="18" t="s">
        <v>81</v>
      </c>
      <c r="C9" s="18" t="s">
        <v>82</v>
      </c>
      <c r="D9" s="18" t="s">
        <v>76</v>
      </c>
      <c r="E9" s="17" t="s">
        <v>83</v>
      </c>
      <c r="F9" s="15" t="s">
        <v>48</v>
      </c>
      <c r="G9" s="18" t="s">
        <v>84</v>
      </c>
      <c r="H9" s="18" t="s">
        <v>85</v>
      </c>
      <c r="I9" s="16" t="s">
        <v>51</v>
      </c>
    </row>
    <row r="10" customFormat="false" ht="31.5" hidden="false" customHeight="true" outlineLevel="0" collapsed="false">
      <c r="A10" s="17" t="s">
        <v>86</v>
      </c>
      <c r="B10" s="18" t="s">
        <v>81</v>
      </c>
      <c r="C10" s="18" t="s">
        <v>87</v>
      </c>
      <c r="D10" s="18" t="s">
        <v>88</v>
      </c>
      <c r="E10" s="17" t="s">
        <v>83</v>
      </c>
      <c r="F10" s="15" t="s">
        <v>48</v>
      </c>
      <c r="G10" s="18" t="s">
        <v>89</v>
      </c>
      <c r="H10" s="18" t="s">
        <v>85</v>
      </c>
      <c r="I10" s="16" t="s">
        <v>51</v>
      </c>
    </row>
    <row r="11" customFormat="false" ht="31.5" hidden="false" customHeight="true" outlineLevel="0" collapsed="false">
      <c r="A11" s="17" t="s">
        <v>90</v>
      </c>
      <c r="B11" s="18" t="s">
        <v>81</v>
      </c>
      <c r="C11" s="18" t="s">
        <v>91</v>
      </c>
      <c r="D11" s="18" t="s">
        <v>92</v>
      </c>
      <c r="E11" s="17" t="s">
        <v>47</v>
      </c>
      <c r="F11" s="15" t="s">
        <v>48</v>
      </c>
      <c r="G11" s="18" t="s">
        <v>93</v>
      </c>
      <c r="H11" s="18" t="s">
        <v>85</v>
      </c>
      <c r="I11" s="16" t="s">
        <v>51</v>
      </c>
    </row>
    <row r="12" customFormat="false" ht="31.5" hidden="false" customHeight="true" outlineLevel="0" collapsed="false">
      <c r="A12" s="17" t="s">
        <v>94</v>
      </c>
      <c r="B12" s="18" t="s">
        <v>81</v>
      </c>
      <c r="C12" s="18" t="s">
        <v>95</v>
      </c>
      <c r="D12" s="18" t="s">
        <v>76</v>
      </c>
      <c r="E12" s="17" t="s">
        <v>47</v>
      </c>
      <c r="F12" s="15" t="s">
        <v>48</v>
      </c>
      <c r="G12" s="18" t="s">
        <v>96</v>
      </c>
      <c r="H12" s="18" t="s">
        <v>79</v>
      </c>
      <c r="I12" s="16" t="s">
        <v>51</v>
      </c>
    </row>
    <row r="13" customFormat="false" ht="31.5" hidden="false" customHeight="true" outlineLevel="0" collapsed="false">
      <c r="A13" s="17" t="s">
        <v>97</v>
      </c>
      <c r="B13" s="18" t="s">
        <v>81</v>
      </c>
      <c r="C13" s="18" t="s">
        <v>98</v>
      </c>
      <c r="D13" s="18" t="s">
        <v>99</v>
      </c>
      <c r="E13" s="17" t="s">
        <v>47</v>
      </c>
      <c r="F13" s="15" t="s">
        <v>48</v>
      </c>
      <c r="G13" s="18" t="s">
        <v>100</v>
      </c>
      <c r="H13" s="18" t="s">
        <v>101</v>
      </c>
      <c r="I13" s="16" t="s">
        <v>51</v>
      </c>
    </row>
    <row r="14" customFormat="false" ht="31.5" hidden="false" customHeight="true" outlineLevel="0" collapsed="false">
      <c r="A14" s="19" t="s">
        <v>102</v>
      </c>
      <c r="B14" s="20" t="s">
        <v>103</v>
      </c>
      <c r="C14" s="20" t="s">
        <v>104</v>
      </c>
      <c r="D14" s="20" t="s">
        <v>105</v>
      </c>
      <c r="E14" s="19" t="s">
        <v>64</v>
      </c>
      <c r="F14" s="15" t="s">
        <v>48</v>
      </c>
      <c r="G14" s="20" t="s">
        <v>106</v>
      </c>
      <c r="H14" s="20" t="s">
        <v>66</v>
      </c>
      <c r="I14" s="16" t="s">
        <v>51</v>
      </c>
    </row>
    <row r="15" customFormat="false" ht="31.5" hidden="false" customHeight="true" outlineLevel="0" collapsed="false">
      <c r="A15" s="19" t="s">
        <v>107</v>
      </c>
      <c r="B15" s="20" t="s">
        <v>108</v>
      </c>
      <c r="C15" s="20" t="s">
        <v>109</v>
      </c>
      <c r="D15" s="20" t="s">
        <v>69</v>
      </c>
      <c r="E15" s="19" t="s">
        <v>64</v>
      </c>
      <c r="F15" s="15" t="s">
        <v>48</v>
      </c>
      <c r="G15" s="20" t="s">
        <v>110</v>
      </c>
      <c r="H15" s="20" t="s">
        <v>66</v>
      </c>
      <c r="I15" s="16" t="s">
        <v>51</v>
      </c>
    </row>
    <row r="16" customFormat="false" ht="31.5" hidden="false" customHeight="true" outlineLevel="0" collapsed="false">
      <c r="A16" s="19" t="s">
        <v>111</v>
      </c>
      <c r="B16" s="20" t="s">
        <v>108</v>
      </c>
      <c r="C16" s="20" t="s">
        <v>112</v>
      </c>
      <c r="D16" s="20" t="s">
        <v>113</v>
      </c>
      <c r="E16" s="19" t="s">
        <v>47</v>
      </c>
      <c r="F16" s="15" t="s">
        <v>48</v>
      </c>
      <c r="G16" s="20" t="n">
        <f aca="false"> 4</f>
        <v>4</v>
      </c>
      <c r="H16" s="20" t="s">
        <v>114</v>
      </c>
      <c r="I16" s="16" t="s">
        <v>51</v>
      </c>
    </row>
    <row r="17" customFormat="false" ht="31.5" hidden="false" customHeight="true" outlineLevel="0" collapsed="false">
      <c r="A17" s="19" t="s">
        <v>115</v>
      </c>
      <c r="B17" s="20" t="s">
        <v>108</v>
      </c>
      <c r="C17" s="20" t="s">
        <v>116</v>
      </c>
      <c r="D17" s="20" t="s">
        <v>117</v>
      </c>
      <c r="E17" s="19" t="s">
        <v>47</v>
      </c>
      <c r="F17" s="15" t="s">
        <v>48</v>
      </c>
      <c r="G17" s="20" t="s">
        <v>118</v>
      </c>
      <c r="H17" s="20" t="s">
        <v>119</v>
      </c>
      <c r="I17" s="21" t="s">
        <v>120</v>
      </c>
    </row>
    <row r="18" customFormat="false" ht="31.5" hidden="false" customHeight="true" outlineLevel="0" collapsed="false">
      <c r="A18" s="22" t="s">
        <v>121</v>
      </c>
      <c r="B18" s="23" t="s">
        <v>122</v>
      </c>
      <c r="C18" s="23" t="s">
        <v>123</v>
      </c>
      <c r="D18" s="23" t="s">
        <v>69</v>
      </c>
      <c r="E18" s="22" t="s">
        <v>47</v>
      </c>
      <c r="F18" s="15" t="s">
        <v>48</v>
      </c>
      <c r="G18" s="23" t="s">
        <v>124</v>
      </c>
      <c r="H18" s="23" t="s">
        <v>125</v>
      </c>
      <c r="I18" s="16" t="s">
        <v>51</v>
      </c>
    </row>
    <row r="19" customFormat="false" ht="31.5" hidden="false" customHeight="true" outlineLevel="0" collapsed="false">
      <c r="A19" s="22" t="s">
        <v>126</v>
      </c>
      <c r="B19" s="23" t="s">
        <v>127</v>
      </c>
      <c r="C19" s="23" t="s">
        <v>128</v>
      </c>
      <c r="D19" s="23" t="s">
        <v>129</v>
      </c>
      <c r="E19" s="22" t="s">
        <v>130</v>
      </c>
      <c r="F19" s="15" t="s">
        <v>48</v>
      </c>
      <c r="G19" s="23" t="s">
        <v>131</v>
      </c>
      <c r="H19" s="23" t="s">
        <v>125</v>
      </c>
      <c r="I19" s="16" t="s">
        <v>51</v>
      </c>
    </row>
    <row r="20" customFormat="false" ht="31.5" hidden="false" customHeight="true" outlineLevel="0" collapsed="false">
      <c r="A20" s="22" t="s">
        <v>132</v>
      </c>
      <c r="B20" s="23" t="s">
        <v>127</v>
      </c>
      <c r="C20" s="23" t="s">
        <v>133</v>
      </c>
      <c r="D20" s="23" t="s">
        <v>76</v>
      </c>
      <c r="E20" s="22" t="s">
        <v>77</v>
      </c>
      <c r="F20" s="15" t="s">
        <v>48</v>
      </c>
      <c r="G20" s="23" t="s">
        <v>96</v>
      </c>
      <c r="H20" s="23" t="s">
        <v>125</v>
      </c>
      <c r="I20" s="16" t="s">
        <v>51</v>
      </c>
    </row>
    <row r="21" customFormat="false" ht="31.5" hidden="false" customHeight="true" outlineLevel="0" collapsed="false">
      <c r="A21" s="22" t="s">
        <v>134</v>
      </c>
      <c r="B21" s="23" t="s">
        <v>127</v>
      </c>
      <c r="C21" s="23" t="s">
        <v>135</v>
      </c>
      <c r="D21" s="23" t="s">
        <v>136</v>
      </c>
      <c r="E21" s="22" t="s">
        <v>47</v>
      </c>
      <c r="F21" s="15" t="s">
        <v>48</v>
      </c>
      <c r="G21" s="23" t="s">
        <v>137</v>
      </c>
      <c r="H21" s="23" t="s">
        <v>125</v>
      </c>
      <c r="I21" s="16" t="s">
        <v>51</v>
      </c>
    </row>
    <row r="22" customFormat="false" ht="31.5" hidden="false" customHeight="true" outlineLevel="0" collapsed="false">
      <c r="A22" s="24" t="s">
        <v>138</v>
      </c>
      <c r="B22" s="25" t="s">
        <v>139</v>
      </c>
      <c r="C22" s="25" t="s">
        <v>140</v>
      </c>
      <c r="D22" s="25" t="s">
        <v>69</v>
      </c>
      <c r="E22" s="24" t="s">
        <v>141</v>
      </c>
      <c r="F22" s="15" t="s">
        <v>48</v>
      </c>
      <c r="G22" s="25" t="s">
        <v>142</v>
      </c>
      <c r="H22" s="25" t="s">
        <v>143</v>
      </c>
      <c r="I22" s="16" t="s">
        <v>51</v>
      </c>
    </row>
    <row r="23" customFormat="false" ht="31.5" hidden="false" customHeight="true" outlineLevel="0" collapsed="false">
      <c r="A23" s="24" t="s">
        <v>144</v>
      </c>
      <c r="B23" s="25" t="s">
        <v>145</v>
      </c>
      <c r="C23" s="25" t="s">
        <v>146</v>
      </c>
      <c r="D23" s="25" t="s">
        <v>76</v>
      </c>
      <c r="E23" s="24" t="s">
        <v>47</v>
      </c>
      <c r="F23" s="15" t="s">
        <v>48</v>
      </c>
      <c r="G23" s="25" t="s">
        <v>147</v>
      </c>
      <c r="H23" s="25" t="s">
        <v>143</v>
      </c>
      <c r="I23" s="16" t="s">
        <v>51</v>
      </c>
    </row>
    <row r="24" customFormat="false" ht="31.5" hidden="false" customHeight="true" outlineLevel="0" collapsed="false">
      <c r="A24" s="24" t="s">
        <v>148</v>
      </c>
      <c r="B24" s="25" t="s">
        <v>145</v>
      </c>
      <c r="C24" s="25" t="s">
        <v>149</v>
      </c>
      <c r="D24" s="25" t="s">
        <v>69</v>
      </c>
      <c r="E24" s="24" t="s">
        <v>47</v>
      </c>
      <c r="F24" s="15" t="s">
        <v>48</v>
      </c>
      <c r="G24" s="25" t="s">
        <v>150</v>
      </c>
      <c r="H24" s="25" t="s">
        <v>151</v>
      </c>
      <c r="I24" s="16" t="s">
        <v>51</v>
      </c>
    </row>
    <row r="25" customFormat="false" ht="31.5" hidden="false" customHeight="true" outlineLevel="0" collapsed="false">
      <c r="A25" s="24" t="s">
        <v>152</v>
      </c>
      <c r="B25" s="25" t="s">
        <v>145</v>
      </c>
      <c r="C25" s="25" t="s">
        <v>153</v>
      </c>
      <c r="D25" s="25" t="s">
        <v>154</v>
      </c>
      <c r="E25" s="24" t="s">
        <v>47</v>
      </c>
      <c r="F25" s="21" t="s">
        <v>155</v>
      </c>
      <c r="G25" s="25" t="s">
        <v>156</v>
      </c>
      <c r="H25" s="25" t="s">
        <v>143</v>
      </c>
      <c r="I25" s="21" t="s">
        <v>120</v>
      </c>
    </row>
    <row r="26" customFormat="false" ht="31.5" hidden="false" customHeight="true" outlineLevel="0" collapsed="false">
      <c r="A26" s="26" t="s">
        <v>157</v>
      </c>
      <c r="B26" s="27" t="s">
        <v>158</v>
      </c>
      <c r="C26" s="27" t="s">
        <v>159</v>
      </c>
      <c r="D26" s="27" t="s">
        <v>69</v>
      </c>
      <c r="E26" s="26" t="s">
        <v>130</v>
      </c>
      <c r="F26" s="15" t="s">
        <v>48</v>
      </c>
      <c r="G26" s="27" t="s">
        <v>110</v>
      </c>
      <c r="H26" s="27" t="s">
        <v>160</v>
      </c>
      <c r="I26" s="16" t="s">
        <v>51</v>
      </c>
    </row>
    <row r="27" customFormat="false" ht="31.5" hidden="false" customHeight="true" outlineLevel="0" collapsed="false">
      <c r="A27" s="26" t="s">
        <v>161</v>
      </c>
      <c r="B27" s="27" t="s">
        <v>162</v>
      </c>
      <c r="C27" s="27" t="s">
        <v>163</v>
      </c>
      <c r="D27" s="27" t="s">
        <v>164</v>
      </c>
      <c r="E27" s="26" t="s">
        <v>47</v>
      </c>
      <c r="F27" s="15" t="s">
        <v>48</v>
      </c>
      <c r="G27" s="27" t="s">
        <v>165</v>
      </c>
      <c r="H27" s="27" t="s">
        <v>160</v>
      </c>
      <c r="I27" s="16" t="s">
        <v>51</v>
      </c>
    </row>
    <row r="28" customFormat="false" ht="31.5" hidden="false" customHeight="true" outlineLevel="0" collapsed="false">
      <c r="A28" s="26" t="s">
        <v>166</v>
      </c>
      <c r="B28" s="27" t="s">
        <v>162</v>
      </c>
      <c r="C28" s="27" t="s">
        <v>167</v>
      </c>
      <c r="D28" s="27" t="s">
        <v>69</v>
      </c>
      <c r="E28" s="26" t="s">
        <v>141</v>
      </c>
      <c r="F28" s="15" t="s">
        <v>48</v>
      </c>
      <c r="G28" s="27" t="s">
        <v>168</v>
      </c>
      <c r="H28" s="27" t="s">
        <v>160</v>
      </c>
      <c r="I28" s="16" t="s">
        <v>51</v>
      </c>
    </row>
    <row r="29" customFormat="false" ht="31.5" hidden="false" customHeight="true" outlineLevel="0" collapsed="false">
      <c r="A29" s="26" t="s">
        <v>169</v>
      </c>
      <c r="B29" s="27" t="s">
        <v>162</v>
      </c>
      <c r="C29" s="27" t="s">
        <v>170</v>
      </c>
      <c r="D29" s="27" t="s">
        <v>69</v>
      </c>
      <c r="E29" s="26" t="s">
        <v>47</v>
      </c>
      <c r="F29" s="15" t="s">
        <v>48</v>
      </c>
      <c r="G29" s="27" t="s">
        <v>110</v>
      </c>
      <c r="H29" s="27" t="s">
        <v>171</v>
      </c>
      <c r="I29" s="16" t="s">
        <v>51</v>
      </c>
    </row>
    <row r="30" customFormat="false" ht="31.5" hidden="false" customHeight="true" outlineLevel="0" collapsed="false">
      <c r="A30" s="28" t="s">
        <v>172</v>
      </c>
      <c r="B30" s="29" t="s">
        <v>173</v>
      </c>
      <c r="C30" s="29" t="s">
        <v>174</v>
      </c>
      <c r="D30" s="29" t="s">
        <v>69</v>
      </c>
      <c r="E30" s="28" t="s">
        <v>175</v>
      </c>
      <c r="F30" s="15" t="s">
        <v>48</v>
      </c>
      <c r="G30" s="29" t="s">
        <v>176</v>
      </c>
      <c r="H30" s="29" t="s">
        <v>177</v>
      </c>
      <c r="I30" s="16" t="s">
        <v>51</v>
      </c>
    </row>
    <row r="31" customFormat="false" ht="31.5" hidden="false" customHeight="true" outlineLevel="0" collapsed="false">
      <c r="A31" s="28" t="s">
        <v>178</v>
      </c>
      <c r="B31" s="29" t="s">
        <v>179</v>
      </c>
      <c r="C31" s="29" t="s">
        <v>180</v>
      </c>
      <c r="D31" s="29" t="s">
        <v>69</v>
      </c>
      <c r="E31" s="28" t="s">
        <v>47</v>
      </c>
      <c r="F31" s="15" t="s">
        <v>48</v>
      </c>
      <c r="G31" s="29" t="s">
        <v>181</v>
      </c>
      <c r="H31" s="29" t="s">
        <v>177</v>
      </c>
      <c r="I31" s="16" t="s">
        <v>51</v>
      </c>
    </row>
    <row r="32" customFormat="false" ht="31.5" hidden="false" customHeight="true" outlineLevel="0" collapsed="false">
      <c r="A32" s="28" t="s">
        <v>182</v>
      </c>
      <c r="B32" s="29" t="s">
        <v>179</v>
      </c>
      <c r="C32" s="29" t="s">
        <v>183</v>
      </c>
      <c r="D32" s="29" t="s">
        <v>76</v>
      </c>
      <c r="E32" s="28" t="s">
        <v>47</v>
      </c>
      <c r="F32" s="15" t="s">
        <v>48</v>
      </c>
      <c r="G32" s="29" t="s">
        <v>96</v>
      </c>
      <c r="H32" s="29" t="s">
        <v>184</v>
      </c>
      <c r="I32" s="16" t="s">
        <v>51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9.75" hidden="false" customHeight="true" outlineLevel="0" collapsed="false">
      <c r="A1" s="11" t="s">
        <v>185</v>
      </c>
      <c r="B1" s="11"/>
      <c r="C1" s="11"/>
      <c r="D1" s="11"/>
      <c r="E1" s="11"/>
      <c r="F1" s="11"/>
      <c r="G1" s="11"/>
      <c r="H1" s="11"/>
    </row>
    <row r="2" customFormat="false" ht="30" hidden="false" customHeight="true" outlineLevel="0" collapsed="false">
      <c r="A2" s="12" t="s">
        <v>186</v>
      </c>
      <c r="B2" s="12" t="s">
        <v>187</v>
      </c>
      <c r="C2" s="12" t="s">
        <v>188</v>
      </c>
      <c r="D2" s="12" t="s">
        <v>189</v>
      </c>
      <c r="E2" s="12" t="s">
        <v>190</v>
      </c>
      <c r="F2" s="12" t="s">
        <v>191</v>
      </c>
      <c r="G2" s="12" t="s">
        <v>192</v>
      </c>
      <c r="H2" s="12" t="s">
        <v>193</v>
      </c>
    </row>
    <row r="3" customFormat="false" ht="37.5" hidden="false" customHeight="true" outlineLevel="0" collapsed="false">
      <c r="A3" s="30" t="s">
        <v>194</v>
      </c>
      <c r="B3" s="30" t="s">
        <v>195</v>
      </c>
      <c r="C3" s="30" t="s">
        <v>196</v>
      </c>
      <c r="D3" s="30" t="s">
        <v>197</v>
      </c>
      <c r="E3" s="30" t="s">
        <v>198</v>
      </c>
      <c r="F3" s="15" t="s">
        <v>199</v>
      </c>
      <c r="G3" s="30" t="s">
        <v>200</v>
      </c>
      <c r="H3" s="31" t="s">
        <v>201</v>
      </c>
    </row>
    <row r="4" customFormat="false" ht="37.5" hidden="false" customHeight="true" outlineLevel="0" collapsed="false">
      <c r="A4" s="32" t="s">
        <v>70</v>
      </c>
      <c r="B4" s="32" t="s">
        <v>202</v>
      </c>
      <c r="C4" s="32" t="s">
        <v>203</v>
      </c>
      <c r="D4" s="32" t="s">
        <v>204</v>
      </c>
      <c r="E4" s="32" t="s">
        <v>53</v>
      </c>
      <c r="F4" s="15" t="s">
        <v>199</v>
      </c>
      <c r="G4" s="32" t="s">
        <v>205</v>
      </c>
      <c r="H4" s="16" t="s">
        <v>206</v>
      </c>
    </row>
    <row r="5" customFormat="false" ht="37.5" hidden="false" customHeight="true" outlineLevel="0" collapsed="false">
      <c r="A5" s="30" t="s">
        <v>207</v>
      </c>
      <c r="B5" s="30" t="s">
        <v>208</v>
      </c>
      <c r="C5" s="30" t="s">
        <v>209</v>
      </c>
      <c r="D5" s="30" t="s">
        <v>210</v>
      </c>
      <c r="E5" s="30" t="s">
        <v>211</v>
      </c>
      <c r="F5" s="15" t="s">
        <v>199</v>
      </c>
      <c r="G5" s="30" t="s">
        <v>212</v>
      </c>
      <c r="H5" s="21" t="s">
        <v>213</v>
      </c>
    </row>
    <row r="6" customFormat="false" ht="37.5" hidden="false" customHeight="true" outlineLevel="0" collapsed="false">
      <c r="A6" s="32" t="s">
        <v>77</v>
      </c>
      <c r="B6" s="32" t="s">
        <v>78</v>
      </c>
      <c r="C6" s="32" t="s">
        <v>214</v>
      </c>
      <c r="D6" s="32" t="s">
        <v>215</v>
      </c>
      <c r="E6" s="32" t="s">
        <v>81</v>
      </c>
      <c r="F6" s="15" t="s">
        <v>199</v>
      </c>
      <c r="G6" s="32" t="s">
        <v>216</v>
      </c>
      <c r="H6" s="31" t="s">
        <v>217</v>
      </c>
    </row>
    <row r="7" customFormat="false" ht="37.5" hidden="false" customHeight="true" outlineLevel="0" collapsed="false">
      <c r="A7" s="30" t="s">
        <v>218</v>
      </c>
      <c r="B7" s="30" t="s">
        <v>219</v>
      </c>
      <c r="C7" s="30" t="s">
        <v>220</v>
      </c>
      <c r="D7" s="30" t="s">
        <v>221</v>
      </c>
      <c r="E7" s="30" t="s">
        <v>222</v>
      </c>
      <c r="F7" s="33" t="s">
        <v>223</v>
      </c>
      <c r="G7" s="30" t="s">
        <v>224</v>
      </c>
      <c r="H7" s="31" t="s">
        <v>225</v>
      </c>
    </row>
    <row r="8" customFormat="false" ht="37.5" hidden="false" customHeight="true" outlineLevel="0" collapsed="false">
      <c r="A8" s="32" t="s">
        <v>141</v>
      </c>
      <c r="B8" s="32" t="s">
        <v>226</v>
      </c>
      <c r="C8" s="32" t="s">
        <v>227</v>
      </c>
      <c r="D8" s="32" t="s">
        <v>228</v>
      </c>
      <c r="E8" s="32" t="s">
        <v>162</v>
      </c>
      <c r="F8" s="15" t="s">
        <v>199</v>
      </c>
      <c r="G8" s="32" t="s">
        <v>229</v>
      </c>
      <c r="H8" s="16" t="s">
        <v>206</v>
      </c>
    </row>
    <row r="9" customFormat="false" ht="37.5" hidden="false" customHeight="true" outlineLevel="0" collapsed="false">
      <c r="A9" s="30" t="s">
        <v>130</v>
      </c>
      <c r="B9" s="30" t="s">
        <v>230</v>
      </c>
      <c r="C9" s="30" t="s">
        <v>231</v>
      </c>
      <c r="D9" s="30" t="s">
        <v>232</v>
      </c>
      <c r="E9" s="30" t="s">
        <v>162</v>
      </c>
      <c r="F9" s="15" t="s">
        <v>199</v>
      </c>
      <c r="G9" s="30" t="s">
        <v>233</v>
      </c>
      <c r="H9" s="16" t="s">
        <v>206</v>
      </c>
    </row>
    <row r="10" customFormat="false" ht="37.5" hidden="false" customHeight="true" outlineLevel="0" collapsed="false">
      <c r="A10" s="32" t="s">
        <v>83</v>
      </c>
      <c r="B10" s="32" t="s">
        <v>84</v>
      </c>
      <c r="C10" s="32" t="s">
        <v>234</v>
      </c>
      <c r="D10" s="32" t="s">
        <v>235</v>
      </c>
      <c r="E10" s="32" t="s">
        <v>81</v>
      </c>
      <c r="F10" s="15" t="s">
        <v>199</v>
      </c>
      <c r="G10" s="32" t="s">
        <v>236</v>
      </c>
      <c r="H10" s="31" t="s">
        <v>217</v>
      </c>
    </row>
    <row r="11" customFormat="false" ht="37.5" hidden="false" customHeight="true" outlineLevel="0" collapsed="false">
      <c r="A11" s="30" t="s">
        <v>237</v>
      </c>
      <c r="B11" s="30" t="s">
        <v>238</v>
      </c>
      <c r="C11" s="30" t="s">
        <v>239</v>
      </c>
      <c r="D11" s="30" t="s">
        <v>240</v>
      </c>
      <c r="E11" s="30" t="s">
        <v>241</v>
      </c>
      <c r="F11" s="33" t="s">
        <v>242</v>
      </c>
      <c r="G11" s="30" t="s">
        <v>243</v>
      </c>
      <c r="H11" s="31" t="s">
        <v>244</v>
      </c>
    </row>
    <row r="12" customFormat="false" ht="37.5" hidden="false" customHeight="true" outlineLevel="0" collapsed="false">
      <c r="A12" s="32" t="s">
        <v>175</v>
      </c>
      <c r="B12" s="32" t="s">
        <v>245</v>
      </c>
      <c r="C12" s="32" t="s">
        <v>246</v>
      </c>
      <c r="D12" s="32" t="s">
        <v>247</v>
      </c>
      <c r="E12" s="32" t="s">
        <v>179</v>
      </c>
      <c r="F12" s="15" t="s">
        <v>199</v>
      </c>
      <c r="G12" s="32" t="s">
        <v>248</v>
      </c>
      <c r="H12" s="16" t="s">
        <v>206</v>
      </c>
    </row>
    <row r="13" customFormat="false" ht="37.5" hidden="false" customHeight="true" outlineLevel="0" collapsed="false">
      <c r="A13" s="30" t="s">
        <v>249</v>
      </c>
      <c r="B13" s="30" t="s">
        <v>250</v>
      </c>
      <c r="C13" s="30" t="s">
        <v>251</v>
      </c>
      <c r="D13" s="30" t="s">
        <v>252</v>
      </c>
      <c r="E13" s="30" t="s">
        <v>253</v>
      </c>
      <c r="F13" s="34" t="s">
        <v>254</v>
      </c>
      <c r="G13" s="30" t="s">
        <v>255</v>
      </c>
      <c r="H13" s="31" t="s">
        <v>256</v>
      </c>
    </row>
    <row r="14" customFormat="false" ht="37.5" hidden="false" customHeight="true" outlineLevel="0" collapsed="false">
      <c r="A14" s="32" t="s">
        <v>257</v>
      </c>
      <c r="B14" s="32" t="s">
        <v>258</v>
      </c>
      <c r="C14" s="32" t="s">
        <v>259</v>
      </c>
      <c r="D14" s="32" t="s">
        <v>260</v>
      </c>
      <c r="E14" s="32" t="s">
        <v>198</v>
      </c>
      <c r="F14" s="33" t="s">
        <v>242</v>
      </c>
      <c r="G14" s="32" t="s">
        <v>261</v>
      </c>
      <c r="H14" s="31" t="s">
        <v>262</v>
      </c>
    </row>
    <row r="15" customFormat="false" ht="37.5" hidden="false" customHeight="true" outlineLevel="0" collapsed="false">
      <c r="A15" s="30" t="s">
        <v>64</v>
      </c>
      <c r="B15" s="30" t="s">
        <v>263</v>
      </c>
      <c r="C15" s="30" t="s">
        <v>264</v>
      </c>
      <c r="D15" s="30" t="s">
        <v>265</v>
      </c>
      <c r="E15" s="30" t="s">
        <v>108</v>
      </c>
      <c r="F15" s="15" t="s">
        <v>199</v>
      </c>
      <c r="G15" s="30" t="s">
        <v>266</v>
      </c>
      <c r="H15" s="16" t="s">
        <v>206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39.75" hidden="false" customHeight="true" outlineLevel="0" collapsed="false">
      <c r="A1" s="11" t="s">
        <v>267</v>
      </c>
      <c r="B1" s="11"/>
      <c r="C1" s="11"/>
      <c r="D1" s="11"/>
      <c r="E1" s="11"/>
      <c r="F1" s="11"/>
      <c r="G1" s="11"/>
    </row>
    <row r="2" customFormat="false" ht="24.75" hidden="false" customHeight="true" outlineLevel="0" collapsed="false">
      <c r="A2" s="35" t="s">
        <v>268</v>
      </c>
      <c r="B2" s="35"/>
      <c r="C2" s="35"/>
      <c r="D2" s="35"/>
      <c r="E2" s="35"/>
      <c r="F2" s="35"/>
      <c r="G2" s="35"/>
    </row>
    <row r="3" customFormat="false" ht="21.75" hidden="false" customHeight="true" outlineLevel="0" collapsed="false">
      <c r="A3" s="36" t="s">
        <v>269</v>
      </c>
      <c r="B3" s="37" t="s">
        <v>270</v>
      </c>
      <c r="C3" s="37" t="s">
        <v>271</v>
      </c>
      <c r="D3" s="15" t="s">
        <v>48</v>
      </c>
      <c r="E3" s="37" t="s">
        <v>47</v>
      </c>
    </row>
    <row r="4" customFormat="false" ht="21.75" hidden="false" customHeight="true" outlineLevel="0" collapsed="false">
      <c r="A4" s="38" t="s">
        <v>272</v>
      </c>
      <c r="B4" s="39" t="s">
        <v>273</v>
      </c>
      <c r="C4" s="39" t="s">
        <v>274</v>
      </c>
      <c r="D4" s="15" t="s">
        <v>48</v>
      </c>
      <c r="E4" s="39" t="s">
        <v>47</v>
      </c>
    </row>
    <row r="5" customFormat="false" ht="21.75" hidden="false" customHeight="true" outlineLevel="0" collapsed="false">
      <c r="A5" s="36" t="s">
        <v>275</v>
      </c>
      <c r="B5" s="37" t="s">
        <v>59</v>
      </c>
      <c r="C5" s="37" t="s">
        <v>47</v>
      </c>
      <c r="D5" s="15" t="s">
        <v>48</v>
      </c>
      <c r="E5" s="37" t="s">
        <v>47</v>
      </c>
    </row>
    <row r="6" customFormat="false" ht="21.75" hidden="false" customHeight="true" outlineLevel="0" collapsed="false">
      <c r="A6" s="38" t="s">
        <v>276</v>
      </c>
      <c r="B6" s="39" t="s">
        <v>59</v>
      </c>
      <c r="C6" s="39" t="s">
        <v>47</v>
      </c>
      <c r="D6" s="15" t="s">
        <v>48</v>
      </c>
      <c r="E6" s="39" t="s">
        <v>47</v>
      </c>
    </row>
    <row r="7" customFormat="false" ht="21.75" hidden="false" customHeight="true" outlineLevel="0" collapsed="false">
      <c r="A7" s="36" t="s">
        <v>277</v>
      </c>
      <c r="B7" s="37" t="s">
        <v>278</v>
      </c>
      <c r="C7" s="37" t="s">
        <v>279</v>
      </c>
      <c r="D7" s="15" t="s">
        <v>48</v>
      </c>
      <c r="E7" s="40" t="s">
        <v>280</v>
      </c>
    </row>
    <row r="8" customFormat="false" ht="21.75" hidden="false" customHeight="true" outlineLevel="0" collapsed="false">
      <c r="A8" s="38" t="s">
        <v>281</v>
      </c>
      <c r="B8" s="39" t="s">
        <v>59</v>
      </c>
      <c r="C8" s="39" t="s">
        <v>110</v>
      </c>
      <c r="D8" s="15" t="s">
        <v>48</v>
      </c>
      <c r="E8" s="41" t="s">
        <v>70</v>
      </c>
    </row>
    <row r="9" customFormat="false" ht="21.75" hidden="false" customHeight="true" outlineLevel="0" collapsed="false">
      <c r="A9" s="36" t="s">
        <v>282</v>
      </c>
      <c r="B9" s="37" t="s">
        <v>59</v>
      </c>
      <c r="C9" s="37" t="s">
        <v>110</v>
      </c>
      <c r="D9" s="15" t="s">
        <v>48</v>
      </c>
      <c r="E9" s="40" t="s">
        <v>64</v>
      </c>
    </row>
    <row r="11" customFormat="false" ht="24.75" hidden="false" customHeight="true" outlineLevel="0" collapsed="false">
      <c r="A11" s="35" t="s">
        <v>283</v>
      </c>
      <c r="B11" s="35"/>
      <c r="C11" s="35"/>
      <c r="D11" s="35"/>
      <c r="E11" s="35"/>
      <c r="F11" s="35"/>
      <c r="G11" s="35"/>
    </row>
    <row r="12" customFormat="false" ht="21.75" hidden="false" customHeight="true" outlineLevel="0" collapsed="false">
      <c r="A12" s="36" t="s">
        <v>284</v>
      </c>
      <c r="B12" s="37" t="s">
        <v>105</v>
      </c>
      <c r="C12" s="37" t="s">
        <v>285</v>
      </c>
      <c r="D12" s="15" t="s">
        <v>48</v>
      </c>
      <c r="E12" s="40" t="s">
        <v>77</v>
      </c>
    </row>
    <row r="13" customFormat="false" ht="21.75" hidden="false" customHeight="true" outlineLevel="0" collapsed="false">
      <c r="A13" s="38" t="s">
        <v>286</v>
      </c>
      <c r="B13" s="39" t="s">
        <v>105</v>
      </c>
      <c r="C13" s="39" t="s">
        <v>285</v>
      </c>
      <c r="D13" s="15" t="s">
        <v>48</v>
      </c>
      <c r="E13" s="39" t="s">
        <v>47</v>
      </c>
    </row>
    <row r="14" customFormat="false" ht="21.75" hidden="false" customHeight="true" outlineLevel="0" collapsed="false">
      <c r="A14" s="36" t="s">
        <v>287</v>
      </c>
      <c r="B14" s="37" t="s">
        <v>105</v>
      </c>
      <c r="C14" s="37" t="s">
        <v>288</v>
      </c>
      <c r="D14" s="15" t="s">
        <v>48</v>
      </c>
      <c r="E14" s="40" t="s">
        <v>83</v>
      </c>
    </row>
    <row r="15" customFormat="false" ht="21.75" hidden="false" customHeight="true" outlineLevel="0" collapsed="false">
      <c r="A15" s="38" t="s">
        <v>289</v>
      </c>
      <c r="B15" s="39" t="s">
        <v>105</v>
      </c>
      <c r="C15" s="39" t="s">
        <v>290</v>
      </c>
      <c r="D15" s="15" t="s">
        <v>48</v>
      </c>
      <c r="E15" s="39" t="s">
        <v>47</v>
      </c>
    </row>
    <row r="16" customFormat="false" ht="21.75" hidden="false" customHeight="true" outlineLevel="0" collapsed="false">
      <c r="A16" s="36" t="s">
        <v>291</v>
      </c>
      <c r="B16" s="37" t="s">
        <v>105</v>
      </c>
      <c r="C16" s="37" t="s">
        <v>285</v>
      </c>
      <c r="D16" s="15" t="s">
        <v>48</v>
      </c>
      <c r="E16" s="37" t="s">
        <v>47</v>
      </c>
    </row>
    <row r="17" customFormat="false" ht="21.75" hidden="false" customHeight="true" outlineLevel="0" collapsed="false">
      <c r="A17" s="38" t="s">
        <v>292</v>
      </c>
      <c r="B17" s="39" t="s">
        <v>105</v>
      </c>
      <c r="C17" s="39" t="s">
        <v>285</v>
      </c>
      <c r="D17" s="15" t="s">
        <v>48</v>
      </c>
      <c r="E17" s="39" t="s">
        <v>47</v>
      </c>
    </row>
    <row r="18" customFormat="false" ht="21.75" hidden="false" customHeight="true" outlineLevel="0" collapsed="false">
      <c r="A18" s="36" t="s">
        <v>293</v>
      </c>
      <c r="B18" s="37" t="s">
        <v>105</v>
      </c>
      <c r="C18" s="37" t="s">
        <v>294</v>
      </c>
      <c r="D18" s="15" t="s">
        <v>48</v>
      </c>
      <c r="E18" s="40" t="s">
        <v>77</v>
      </c>
    </row>
    <row r="19" customFormat="false" ht="21.75" hidden="false" customHeight="true" outlineLevel="0" collapsed="false">
      <c r="A19" s="38" t="s">
        <v>295</v>
      </c>
      <c r="B19" s="39" t="s">
        <v>296</v>
      </c>
      <c r="C19" s="39" t="s">
        <v>297</v>
      </c>
      <c r="D19" s="15" t="s">
        <v>48</v>
      </c>
      <c r="E19" s="39" t="s">
        <v>47</v>
      </c>
    </row>
    <row r="21" customFormat="false" ht="24.75" hidden="false" customHeight="true" outlineLevel="0" collapsed="false">
      <c r="A21" s="35" t="s">
        <v>298</v>
      </c>
      <c r="B21" s="35"/>
      <c r="C21" s="35"/>
      <c r="D21" s="35"/>
      <c r="E21" s="35"/>
      <c r="F21" s="35"/>
      <c r="G21" s="35"/>
    </row>
    <row r="22" customFormat="false" ht="21.75" hidden="false" customHeight="true" outlineLevel="0" collapsed="false">
      <c r="A22" s="36" t="s">
        <v>299</v>
      </c>
      <c r="B22" s="37" t="s">
        <v>105</v>
      </c>
      <c r="C22" s="37" t="s">
        <v>300</v>
      </c>
      <c r="D22" s="15" t="s">
        <v>48</v>
      </c>
      <c r="E22" s="40" t="s">
        <v>64</v>
      </c>
    </row>
    <row r="23" customFormat="false" ht="21.75" hidden="false" customHeight="true" outlineLevel="0" collapsed="false">
      <c r="A23" s="38" t="s">
        <v>301</v>
      </c>
      <c r="B23" s="39" t="s">
        <v>59</v>
      </c>
      <c r="C23" s="39" t="s">
        <v>110</v>
      </c>
      <c r="D23" s="15" t="s">
        <v>48</v>
      </c>
      <c r="E23" s="41" t="s">
        <v>64</v>
      </c>
    </row>
    <row r="24" customFormat="false" ht="21.75" hidden="false" customHeight="true" outlineLevel="0" collapsed="false">
      <c r="A24" s="36" t="s">
        <v>302</v>
      </c>
      <c r="B24" s="37" t="s">
        <v>270</v>
      </c>
      <c r="C24" s="37" t="n">
        <f aca="false">4</f>
        <v>4</v>
      </c>
      <c r="D24" s="15" t="s">
        <v>48</v>
      </c>
      <c r="E24" s="37" t="s">
        <v>47</v>
      </c>
    </row>
    <row r="25" customFormat="false" ht="21.75" hidden="false" customHeight="true" outlineLevel="0" collapsed="false">
      <c r="A25" s="38" t="s">
        <v>303</v>
      </c>
      <c r="B25" s="39" t="s">
        <v>105</v>
      </c>
      <c r="C25" s="39" t="s">
        <v>304</v>
      </c>
      <c r="D25" s="15" t="s">
        <v>48</v>
      </c>
      <c r="E25" s="39" t="s">
        <v>47</v>
      </c>
    </row>
    <row r="27" customFormat="false" ht="24.75" hidden="false" customHeight="true" outlineLevel="0" collapsed="false">
      <c r="A27" s="35" t="s">
        <v>305</v>
      </c>
      <c r="B27" s="35"/>
      <c r="C27" s="35"/>
      <c r="D27" s="35"/>
      <c r="E27" s="35"/>
      <c r="F27" s="35"/>
      <c r="G27" s="35"/>
    </row>
    <row r="28" customFormat="false" ht="21.75" hidden="false" customHeight="true" outlineLevel="0" collapsed="false">
      <c r="A28" s="36" t="s">
        <v>306</v>
      </c>
      <c r="B28" s="37" t="s">
        <v>59</v>
      </c>
      <c r="C28" s="37" t="s">
        <v>110</v>
      </c>
      <c r="D28" s="15" t="s">
        <v>48</v>
      </c>
      <c r="E28" s="37" t="s">
        <v>47</v>
      </c>
    </row>
    <row r="29" customFormat="false" ht="21.75" hidden="false" customHeight="true" outlineLevel="0" collapsed="false">
      <c r="A29" s="38" t="s">
        <v>307</v>
      </c>
      <c r="B29" s="39" t="s">
        <v>105</v>
      </c>
      <c r="C29" s="39" t="s">
        <v>285</v>
      </c>
      <c r="D29" s="15" t="s">
        <v>48</v>
      </c>
      <c r="E29" s="41" t="s">
        <v>77</v>
      </c>
    </row>
    <row r="30" customFormat="false" ht="21.75" hidden="false" customHeight="true" outlineLevel="0" collapsed="false">
      <c r="A30" s="36" t="s">
        <v>308</v>
      </c>
      <c r="B30" s="37" t="s">
        <v>309</v>
      </c>
      <c r="C30" s="37" t="s">
        <v>310</v>
      </c>
      <c r="D30" s="15" t="s">
        <v>48</v>
      </c>
      <c r="E30" s="40" t="s">
        <v>130</v>
      </c>
    </row>
    <row r="31" customFormat="false" ht="21.75" hidden="false" customHeight="true" outlineLevel="0" collapsed="false">
      <c r="A31" s="38" t="s">
        <v>311</v>
      </c>
      <c r="B31" s="39" t="s">
        <v>273</v>
      </c>
      <c r="C31" s="39" t="s">
        <v>312</v>
      </c>
      <c r="D31" s="15" t="s">
        <v>48</v>
      </c>
      <c r="E31" s="39" t="s">
        <v>47</v>
      </c>
    </row>
    <row r="33" customFormat="false" ht="24.75" hidden="false" customHeight="true" outlineLevel="0" collapsed="false">
      <c r="A33" s="35" t="s">
        <v>313</v>
      </c>
      <c r="B33" s="35"/>
      <c r="C33" s="35"/>
      <c r="D33" s="35"/>
      <c r="E33" s="35"/>
      <c r="F33" s="35"/>
      <c r="G33" s="35"/>
    </row>
    <row r="34" customFormat="false" ht="21.75" hidden="false" customHeight="true" outlineLevel="0" collapsed="false">
      <c r="A34" s="36" t="s">
        <v>314</v>
      </c>
      <c r="B34" s="37" t="s">
        <v>105</v>
      </c>
      <c r="C34" s="37" t="s">
        <v>285</v>
      </c>
      <c r="D34" s="15" t="s">
        <v>48</v>
      </c>
      <c r="E34" s="37" t="s">
        <v>47</v>
      </c>
    </row>
    <row r="35" customFormat="false" ht="21.75" hidden="false" customHeight="true" outlineLevel="0" collapsed="false">
      <c r="A35" s="38" t="s">
        <v>315</v>
      </c>
      <c r="B35" s="39" t="s">
        <v>59</v>
      </c>
      <c r="C35" s="39" t="s">
        <v>110</v>
      </c>
      <c r="D35" s="15" t="s">
        <v>48</v>
      </c>
      <c r="E35" s="41" t="s">
        <v>316</v>
      </c>
    </row>
    <row r="36" customFormat="false" ht="21.75" hidden="false" customHeight="true" outlineLevel="0" collapsed="false">
      <c r="A36" s="36" t="s">
        <v>317</v>
      </c>
      <c r="B36" s="37" t="s">
        <v>59</v>
      </c>
      <c r="C36" s="37" t="s">
        <v>110</v>
      </c>
      <c r="D36" s="15" t="s">
        <v>48</v>
      </c>
      <c r="E36" s="37" t="s">
        <v>47</v>
      </c>
    </row>
    <row r="37" customFormat="false" ht="21.75" hidden="false" customHeight="true" outlineLevel="0" collapsed="false">
      <c r="A37" s="38" t="s">
        <v>318</v>
      </c>
      <c r="B37" s="39" t="s">
        <v>105</v>
      </c>
      <c r="C37" s="39" t="s">
        <v>285</v>
      </c>
      <c r="D37" s="15" t="s">
        <v>48</v>
      </c>
      <c r="E37" s="39" t="s">
        <v>47</v>
      </c>
    </row>
    <row r="39" customFormat="false" ht="24.75" hidden="false" customHeight="true" outlineLevel="0" collapsed="false">
      <c r="A39" s="35" t="s">
        <v>319</v>
      </c>
      <c r="B39" s="35"/>
      <c r="C39" s="35"/>
      <c r="D39" s="35"/>
      <c r="E39" s="35"/>
      <c r="F39" s="35"/>
      <c r="G39" s="35"/>
    </row>
    <row r="40" customFormat="false" ht="21.75" hidden="false" customHeight="true" outlineLevel="0" collapsed="false">
      <c r="A40" s="36" t="s">
        <v>320</v>
      </c>
      <c r="B40" s="37" t="s">
        <v>105</v>
      </c>
      <c r="C40" s="37" t="s">
        <v>300</v>
      </c>
      <c r="D40" s="15" t="s">
        <v>48</v>
      </c>
      <c r="E40" s="40" t="s">
        <v>130</v>
      </c>
    </row>
    <row r="41" customFormat="false" ht="21.75" hidden="false" customHeight="true" outlineLevel="0" collapsed="false">
      <c r="A41" s="38" t="s">
        <v>321</v>
      </c>
      <c r="B41" s="39" t="s">
        <v>105</v>
      </c>
      <c r="C41" s="39" t="s">
        <v>300</v>
      </c>
      <c r="D41" s="15" t="s">
        <v>48</v>
      </c>
      <c r="E41" s="41" t="s">
        <v>130</v>
      </c>
    </row>
    <row r="42" customFormat="false" ht="21.75" hidden="false" customHeight="true" outlineLevel="0" collapsed="false">
      <c r="A42" s="36" t="s">
        <v>322</v>
      </c>
      <c r="B42" s="37" t="s">
        <v>105</v>
      </c>
      <c r="C42" s="37" t="s">
        <v>323</v>
      </c>
      <c r="D42" s="15" t="s">
        <v>48</v>
      </c>
      <c r="E42" s="40" t="s">
        <v>130</v>
      </c>
    </row>
    <row r="43" customFormat="false" ht="21.75" hidden="false" customHeight="true" outlineLevel="0" collapsed="false">
      <c r="A43" s="38" t="s">
        <v>324</v>
      </c>
      <c r="B43" s="39" t="s">
        <v>59</v>
      </c>
      <c r="C43" s="39" t="s">
        <v>110</v>
      </c>
      <c r="D43" s="15" t="s">
        <v>48</v>
      </c>
      <c r="E43" s="41" t="s">
        <v>130</v>
      </c>
    </row>
    <row r="44" customFormat="false" ht="21.75" hidden="false" customHeight="true" outlineLevel="0" collapsed="false">
      <c r="A44" s="36" t="s">
        <v>325</v>
      </c>
      <c r="B44" s="37" t="s">
        <v>105</v>
      </c>
      <c r="C44" s="37" t="s">
        <v>326</v>
      </c>
      <c r="D44" s="15" t="s">
        <v>48</v>
      </c>
      <c r="E44" s="37" t="s">
        <v>47</v>
      </c>
    </row>
    <row r="45" customFormat="false" ht="21.75" hidden="false" customHeight="true" outlineLevel="0" collapsed="false">
      <c r="A45" s="38" t="s">
        <v>327</v>
      </c>
      <c r="B45" s="39" t="s">
        <v>59</v>
      </c>
      <c r="C45" s="39" t="s">
        <v>110</v>
      </c>
      <c r="D45" s="15" t="s">
        <v>48</v>
      </c>
      <c r="E45" s="41" t="s">
        <v>141</v>
      </c>
    </row>
    <row r="47" customFormat="false" ht="24.75" hidden="false" customHeight="true" outlineLevel="0" collapsed="false">
      <c r="A47" s="35" t="s">
        <v>328</v>
      </c>
      <c r="B47" s="35"/>
      <c r="C47" s="35"/>
      <c r="D47" s="35"/>
      <c r="E47" s="35"/>
      <c r="F47" s="35"/>
      <c r="G47" s="35"/>
    </row>
    <row r="48" customFormat="false" ht="21.75" hidden="false" customHeight="true" outlineLevel="0" collapsed="false">
      <c r="A48" s="36" t="s">
        <v>329</v>
      </c>
      <c r="B48" s="37" t="s">
        <v>59</v>
      </c>
      <c r="C48" s="37" t="s">
        <v>110</v>
      </c>
      <c r="D48" s="15" t="s">
        <v>48</v>
      </c>
      <c r="E48" s="40" t="s">
        <v>175</v>
      </c>
    </row>
    <row r="49" customFormat="false" ht="21.75" hidden="false" customHeight="true" outlineLevel="0" collapsed="false">
      <c r="A49" s="38" t="s">
        <v>330</v>
      </c>
      <c r="B49" s="39" t="s">
        <v>105</v>
      </c>
      <c r="C49" s="39" t="s">
        <v>331</v>
      </c>
      <c r="D49" s="15" t="s">
        <v>48</v>
      </c>
      <c r="E49" s="41" t="s">
        <v>175</v>
      </c>
    </row>
    <row r="50" customFormat="false" ht="21.75" hidden="false" customHeight="true" outlineLevel="0" collapsed="false">
      <c r="A50" s="36" t="s">
        <v>332</v>
      </c>
      <c r="B50" s="37" t="s">
        <v>59</v>
      </c>
      <c r="C50" s="37" t="s">
        <v>110</v>
      </c>
      <c r="D50" s="15" t="s">
        <v>48</v>
      </c>
      <c r="E50" s="37" t="s">
        <v>47</v>
      </c>
    </row>
    <row r="51" customFormat="false" ht="21.75" hidden="false" customHeight="true" outlineLevel="0" collapsed="false">
      <c r="A51" s="38" t="s">
        <v>333</v>
      </c>
      <c r="B51" s="39" t="s">
        <v>105</v>
      </c>
      <c r="C51" s="39" t="s">
        <v>285</v>
      </c>
      <c r="D51" s="15" t="s">
        <v>48</v>
      </c>
      <c r="E51" s="39" t="s">
        <v>47</v>
      </c>
    </row>
    <row r="53" customFormat="false" ht="24.75" hidden="false" customHeight="true" outlineLevel="0" collapsed="false">
      <c r="A53" s="35" t="s">
        <v>334</v>
      </c>
      <c r="B53" s="35"/>
      <c r="C53" s="35"/>
      <c r="D53" s="35"/>
      <c r="E53" s="35"/>
      <c r="F53" s="35"/>
      <c r="G53" s="35"/>
    </row>
    <row r="54" customFormat="false" ht="21.75" hidden="false" customHeight="true" outlineLevel="0" collapsed="false">
      <c r="A54" s="36" t="s">
        <v>335</v>
      </c>
      <c r="B54" s="37" t="s">
        <v>59</v>
      </c>
      <c r="C54" s="37" t="s">
        <v>110</v>
      </c>
      <c r="D54" s="15" t="s">
        <v>48</v>
      </c>
      <c r="E54" s="37" t="s">
        <v>47</v>
      </c>
    </row>
    <row r="55" customFormat="false" ht="21.75" hidden="false" customHeight="true" outlineLevel="0" collapsed="false">
      <c r="A55" s="38" t="s">
        <v>336</v>
      </c>
      <c r="B55" s="39" t="s">
        <v>273</v>
      </c>
      <c r="C55" s="39" t="s">
        <v>337</v>
      </c>
      <c r="D55" s="33" t="s">
        <v>338</v>
      </c>
      <c r="E55" s="39" t="s">
        <v>47</v>
      </c>
    </row>
    <row r="56" customFormat="false" ht="21.75" hidden="false" customHeight="true" outlineLevel="0" collapsed="false">
      <c r="A56" s="36" t="s">
        <v>339</v>
      </c>
      <c r="B56" s="37" t="s">
        <v>340</v>
      </c>
      <c r="C56" s="37" t="s">
        <v>341</v>
      </c>
      <c r="D56" s="15" t="s">
        <v>48</v>
      </c>
      <c r="E56" s="37" t="s">
        <v>47</v>
      </c>
    </row>
    <row r="57" customFormat="false" ht="21.75" hidden="false" customHeight="true" outlineLevel="0" collapsed="false">
      <c r="A57" s="38" t="s">
        <v>342</v>
      </c>
      <c r="B57" s="39" t="s">
        <v>59</v>
      </c>
      <c r="C57" s="39" t="s">
        <v>110</v>
      </c>
      <c r="D57" s="15" t="s">
        <v>48</v>
      </c>
      <c r="E57" s="39" t="s">
        <v>47</v>
      </c>
    </row>
  </sheetData>
  <mergeCells count="9">
    <mergeCell ref="A1:G1"/>
    <mergeCell ref="A2:G2"/>
    <mergeCell ref="A11:G11"/>
    <mergeCell ref="A21:G21"/>
    <mergeCell ref="A27:G27"/>
    <mergeCell ref="A33:G33"/>
    <mergeCell ref="A39:G39"/>
    <mergeCell ref="A47:G47"/>
    <mergeCell ref="A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42" t="s">
        <v>343</v>
      </c>
      <c r="B1" s="42"/>
    </row>
    <row r="2" customFormat="false" ht="13.5" hidden="false" customHeight="true" outlineLevel="0" collapsed="false">
      <c r="A2" s="43" t="s">
        <v>344</v>
      </c>
      <c r="B2" s="44" t="s">
        <v>345</v>
      </c>
    </row>
    <row r="3" customFormat="false" ht="13.5" hidden="false" customHeight="true" outlineLevel="0" collapsed="false">
      <c r="A3" s="43" t="s">
        <v>346</v>
      </c>
      <c r="B3" s="44" t="s">
        <v>347</v>
      </c>
    </row>
    <row r="4" customFormat="false" ht="13.5" hidden="false" customHeight="true" outlineLevel="0" collapsed="false">
      <c r="A4" s="43" t="s">
        <v>348</v>
      </c>
      <c r="B4" s="44" t="s">
        <v>349</v>
      </c>
    </row>
    <row r="5" customFormat="false" ht="13.5" hidden="false" customHeight="true" outlineLevel="0" collapsed="false">
      <c r="A5" s="43" t="s">
        <v>350</v>
      </c>
      <c r="B5" s="44" t="s">
        <v>351</v>
      </c>
    </row>
    <row r="6" customFormat="false" ht="13.5" hidden="false" customHeight="true" outlineLevel="0" collapsed="false">
      <c r="A6" s="43" t="s">
        <v>352</v>
      </c>
      <c r="B6" s="44"/>
    </row>
    <row r="7" customFormat="false" ht="13.5" hidden="false" customHeight="true" outlineLevel="0" collapsed="false">
      <c r="A7" s="43" t="s">
        <v>353</v>
      </c>
      <c r="B7" s="44" t="s">
        <v>354</v>
      </c>
    </row>
    <row r="8" customFormat="false" ht="13.5" hidden="false" customHeight="true" outlineLevel="0" collapsed="false">
      <c r="A8" s="43" t="s">
        <v>355</v>
      </c>
      <c r="B8" s="44" t="s">
        <v>356</v>
      </c>
    </row>
    <row r="9" customFormat="false" ht="13.5" hidden="false" customHeight="true" outlineLevel="0" collapsed="false">
      <c r="A9" s="43" t="s">
        <v>357</v>
      </c>
      <c r="B9" s="44" t="s">
        <v>358</v>
      </c>
    </row>
    <row r="10" customFormat="false" ht="13.5" hidden="false" customHeight="true" outlineLevel="0" collapsed="false">
      <c r="A10" s="43" t="s">
        <v>359</v>
      </c>
      <c r="B10" s="44"/>
    </row>
    <row r="11" customFormat="false" ht="13.5" hidden="false" customHeight="true" outlineLevel="0" collapsed="false">
      <c r="A11" s="43" t="s">
        <v>360</v>
      </c>
      <c r="B11" s="44" t="s">
        <v>361</v>
      </c>
    </row>
    <row r="12" customFormat="false" ht="13.5" hidden="false" customHeight="true" outlineLevel="0" collapsed="false">
      <c r="A12" s="43" t="s">
        <v>362</v>
      </c>
      <c r="B12" s="44" t="s">
        <v>363</v>
      </c>
    </row>
    <row r="13" customFormat="false" ht="13.5" hidden="false" customHeight="true" outlineLevel="0" collapsed="false">
      <c r="A13" s="43" t="s">
        <v>364</v>
      </c>
      <c r="B13" s="44" t="s">
        <v>365</v>
      </c>
    </row>
    <row r="14" customFormat="false" ht="13.5" hidden="false" customHeight="true" outlineLevel="0" collapsed="false">
      <c r="A14" s="43" t="s">
        <v>366</v>
      </c>
      <c r="B14" s="44" t="s">
        <v>367</v>
      </c>
    </row>
    <row r="15" customFormat="false" ht="13.5" hidden="false" customHeight="true" outlineLevel="0" collapsed="false">
      <c r="A15" s="43" t="s">
        <v>368</v>
      </c>
      <c r="B15" s="44" t="s">
        <v>369</v>
      </c>
    </row>
    <row r="16" customFormat="false" ht="13.5" hidden="false" customHeight="true" outlineLevel="0" collapsed="false">
      <c r="A16" s="43" t="s">
        <v>370</v>
      </c>
      <c r="B16" s="44" t="s">
        <v>371</v>
      </c>
    </row>
    <row r="17" customFormat="false" ht="13.5" hidden="false" customHeight="true" outlineLevel="0" collapsed="false">
      <c r="A17" s="43" t="s">
        <v>372</v>
      </c>
      <c r="B17" s="44"/>
    </row>
    <row r="18" customFormat="false" ht="13.5" hidden="false" customHeight="true" outlineLevel="0" collapsed="false">
      <c r="A18" s="43" t="s">
        <v>373</v>
      </c>
      <c r="B18" s="44" t="s">
        <v>374</v>
      </c>
    </row>
    <row r="19" customFormat="false" ht="13.5" hidden="false" customHeight="true" outlineLevel="0" collapsed="false">
      <c r="A19" s="43" t="s">
        <v>375</v>
      </c>
      <c r="B19" s="44" t="s">
        <v>376</v>
      </c>
    </row>
    <row r="20" customFormat="false" ht="13.5" hidden="false" customHeight="true" outlineLevel="0" collapsed="false">
      <c r="A20" s="43" t="s">
        <v>377</v>
      </c>
      <c r="B20" s="44" t="s">
        <v>378</v>
      </c>
    </row>
    <row r="21" customFormat="false" ht="13.5" hidden="false" customHeight="true" outlineLevel="0" collapsed="false">
      <c r="A21" s="43" t="s">
        <v>379</v>
      </c>
      <c r="B21" s="44" t="s">
        <v>380</v>
      </c>
    </row>
    <row r="22" customFormat="false" ht="13.5" hidden="false" customHeight="true" outlineLevel="0" collapsed="false">
      <c r="A22" s="43" t="s">
        <v>381</v>
      </c>
      <c r="B22" s="44" t="s">
        <v>382</v>
      </c>
    </row>
    <row r="23" customFormat="false" ht="13.5" hidden="false" customHeight="true" outlineLevel="0" collapsed="false">
      <c r="A23" s="43" t="s">
        <v>383</v>
      </c>
      <c r="B23" s="44" t="s">
        <v>384</v>
      </c>
    </row>
    <row r="24" customFormat="false" ht="13.5" hidden="false" customHeight="true" outlineLevel="0" collapsed="false">
      <c r="A24" s="43" t="s">
        <v>385</v>
      </c>
      <c r="B24" s="44" t="s">
        <v>386</v>
      </c>
    </row>
    <row r="25" customFormat="false" ht="13.5" hidden="false" customHeight="true" outlineLevel="0" collapsed="false">
      <c r="A25" s="43" t="s">
        <v>387</v>
      </c>
      <c r="B25" s="44"/>
    </row>
    <row r="26" customFormat="false" ht="13.5" hidden="false" customHeight="true" outlineLevel="0" collapsed="false">
      <c r="A26" s="43" t="s">
        <v>388</v>
      </c>
      <c r="B26" s="44" t="s">
        <v>389</v>
      </c>
    </row>
    <row r="27" customFormat="false" ht="13.5" hidden="false" customHeight="true" outlineLevel="0" collapsed="false">
      <c r="A27" s="43" t="s">
        <v>390</v>
      </c>
      <c r="B27" s="44" t="s">
        <v>391</v>
      </c>
    </row>
    <row r="28" customFormat="false" ht="13.5" hidden="false" customHeight="true" outlineLevel="0" collapsed="false">
      <c r="A28" s="43" t="s">
        <v>392</v>
      </c>
      <c r="B28" s="44" t="s">
        <v>393</v>
      </c>
    </row>
    <row r="29" customFormat="false" ht="13.5" hidden="false" customHeight="true" outlineLevel="0" collapsed="false">
      <c r="A29" s="43" t="s">
        <v>394</v>
      </c>
      <c r="B29" s="44" t="s">
        <v>395</v>
      </c>
    </row>
    <row r="30" customFormat="false" ht="13.5" hidden="false" customHeight="true" outlineLevel="0" collapsed="false">
      <c r="A30" s="43" t="s">
        <v>396</v>
      </c>
      <c r="B30" s="44" t="s">
        <v>397</v>
      </c>
    </row>
    <row r="31" customFormat="false" ht="13.5" hidden="false" customHeight="true" outlineLevel="0" collapsed="false">
      <c r="A31" s="43" t="s">
        <v>398</v>
      </c>
      <c r="B31" s="44" t="s">
        <v>399</v>
      </c>
    </row>
    <row r="32" customFormat="false" ht="13.5" hidden="false" customHeight="true" outlineLevel="0" collapsed="false">
      <c r="A32" s="43" t="s">
        <v>400</v>
      </c>
      <c r="B32" s="44" t="s">
        <v>401</v>
      </c>
    </row>
    <row r="33" customFormat="false" ht="13.5" hidden="false" customHeight="true" outlineLevel="0" collapsed="false">
      <c r="A33" s="43" t="s">
        <v>402</v>
      </c>
      <c r="B33" s="44" t="s">
        <v>403</v>
      </c>
    </row>
    <row r="34" customFormat="false" ht="13.5" hidden="false" customHeight="true" outlineLevel="0" collapsed="false">
      <c r="A34" s="43" t="s">
        <v>404</v>
      </c>
      <c r="B34" s="44" t="s">
        <v>405</v>
      </c>
    </row>
    <row r="35" customFormat="false" ht="13.5" hidden="false" customHeight="true" outlineLevel="0" collapsed="false">
      <c r="A35" s="43" t="s">
        <v>406</v>
      </c>
      <c r="B35" s="44"/>
    </row>
    <row r="36" customFormat="false" ht="13.5" hidden="false" customHeight="true" outlineLevel="0" collapsed="false">
      <c r="A36" s="43" t="s">
        <v>407</v>
      </c>
      <c r="B36" s="44" t="s">
        <v>408</v>
      </c>
    </row>
    <row r="37" customFormat="false" ht="13.5" hidden="false" customHeight="true" outlineLevel="0" collapsed="false">
      <c r="A37" s="43" t="s">
        <v>409</v>
      </c>
      <c r="B37" s="44" t="s">
        <v>410</v>
      </c>
    </row>
    <row r="38" customFormat="false" ht="13.5" hidden="false" customHeight="true" outlineLevel="0" collapsed="false">
      <c r="A38" s="43" t="s">
        <v>411</v>
      </c>
      <c r="B38" s="44" t="s">
        <v>412</v>
      </c>
    </row>
    <row r="39" customFormat="false" ht="13.5" hidden="false" customHeight="true" outlineLevel="0" collapsed="false">
      <c r="A39" s="43" t="s">
        <v>413</v>
      </c>
      <c r="B39" s="44" t="s">
        <v>414</v>
      </c>
    </row>
    <row r="40" customFormat="false" ht="13.5" hidden="false" customHeight="true" outlineLevel="0" collapsed="false">
      <c r="A40" s="43" t="s">
        <v>415</v>
      </c>
      <c r="B40" s="44"/>
    </row>
    <row r="41" customFormat="false" ht="13.5" hidden="false" customHeight="true" outlineLevel="0" collapsed="false">
      <c r="A41" s="43" t="s">
        <v>416</v>
      </c>
      <c r="B41" s="44" t="s">
        <v>417</v>
      </c>
    </row>
    <row r="42" customFormat="false" ht="13.5" hidden="false" customHeight="true" outlineLevel="0" collapsed="false">
      <c r="A42" s="43" t="s">
        <v>418</v>
      </c>
      <c r="B42" s="44" t="s">
        <v>419</v>
      </c>
    </row>
    <row r="43" customFormat="false" ht="13.5" hidden="false" customHeight="true" outlineLevel="0" collapsed="false">
      <c r="A43" s="43" t="s">
        <v>420</v>
      </c>
      <c r="B43" s="44" t="s">
        <v>421</v>
      </c>
    </row>
    <row r="44" customFormat="false" ht="13.5" hidden="false" customHeight="true" outlineLevel="0" collapsed="false">
      <c r="A44" s="43" t="s">
        <v>422</v>
      </c>
      <c r="B44" s="44" t="s">
        <v>414</v>
      </c>
    </row>
    <row r="45" customFormat="false" ht="13.5" hidden="false" customHeight="true" outlineLevel="0" collapsed="false">
      <c r="A45" s="43" t="s">
        <v>423</v>
      </c>
      <c r="B45" s="44"/>
    </row>
    <row r="46" customFormat="false" ht="13.5" hidden="false" customHeight="true" outlineLevel="0" collapsed="false">
      <c r="A46" s="43" t="s">
        <v>424</v>
      </c>
      <c r="B46" s="44" t="s">
        <v>425</v>
      </c>
    </row>
    <row r="47" customFormat="false" ht="13.5" hidden="false" customHeight="true" outlineLevel="0" collapsed="false">
      <c r="A47" s="43" t="s">
        <v>426</v>
      </c>
      <c r="B47" s="44" t="s">
        <v>427</v>
      </c>
    </row>
    <row r="48" customFormat="false" ht="13.5" hidden="false" customHeight="true" outlineLevel="0" collapsed="false">
      <c r="A48" s="43" t="s">
        <v>428</v>
      </c>
      <c r="B48" s="44" t="s">
        <v>429</v>
      </c>
    </row>
    <row r="49" customFormat="false" ht="13.5" hidden="false" customHeight="true" outlineLevel="0" collapsed="false">
      <c r="A49" s="43" t="s">
        <v>430</v>
      </c>
      <c r="B49" s="44" t="s">
        <v>431</v>
      </c>
    </row>
    <row r="50" customFormat="false" ht="13.5" hidden="false" customHeight="true" outlineLevel="0" collapsed="false">
      <c r="A50" s="43" t="s">
        <v>432</v>
      </c>
      <c r="B50" s="44" t="s">
        <v>433</v>
      </c>
    </row>
    <row r="51" customFormat="false" ht="13.5" hidden="false" customHeight="true" outlineLevel="0" collapsed="false">
      <c r="A51" s="43" t="s">
        <v>434</v>
      </c>
      <c r="B51" s="44" t="s">
        <v>435</v>
      </c>
    </row>
    <row r="52" customFormat="false" ht="13.5" hidden="false" customHeight="true" outlineLevel="0" collapsed="false">
      <c r="A52" s="43" t="s">
        <v>436</v>
      </c>
      <c r="B52" s="44" t="s">
        <v>437</v>
      </c>
    </row>
    <row r="53" customFormat="false" ht="13.5" hidden="false" customHeight="true" outlineLevel="0" collapsed="false">
      <c r="A53" s="43" t="s">
        <v>438</v>
      </c>
      <c r="B53" s="44" t="s">
        <v>439</v>
      </c>
    </row>
    <row r="54" customFormat="false" ht="13.5" hidden="false" customHeight="true" outlineLevel="0" collapsed="false">
      <c r="A54" s="43" t="s">
        <v>440</v>
      </c>
      <c r="B54" s="44" t="s">
        <v>441</v>
      </c>
    </row>
    <row r="55" customFormat="false" ht="13.5" hidden="false" customHeight="true" outlineLevel="0" collapsed="false">
      <c r="A55" s="43" t="s">
        <v>442</v>
      </c>
      <c r="B55" s="44"/>
    </row>
    <row r="56" customFormat="false" ht="13.5" hidden="false" customHeight="true" outlineLevel="0" collapsed="false">
      <c r="A56" s="43" t="s">
        <v>443</v>
      </c>
      <c r="B56" s="44" t="s">
        <v>444</v>
      </c>
    </row>
    <row r="57" customFormat="false" ht="13.5" hidden="false" customHeight="true" outlineLevel="0" collapsed="false">
      <c r="A57" s="43" t="s">
        <v>445</v>
      </c>
      <c r="B57" s="44" t="s">
        <v>446</v>
      </c>
    </row>
    <row r="58" customFormat="false" ht="13.5" hidden="false" customHeight="true" outlineLevel="0" collapsed="false">
      <c r="A58" s="43" t="s">
        <v>447</v>
      </c>
      <c r="B58" s="44" t="s">
        <v>448</v>
      </c>
    </row>
    <row r="59" customFormat="false" ht="13.5" hidden="false" customHeight="true" outlineLevel="0" collapsed="false">
      <c r="A59" s="43" t="s">
        <v>449</v>
      </c>
      <c r="B59" s="44" t="s">
        <v>450</v>
      </c>
    </row>
    <row r="60" customFormat="false" ht="13.5" hidden="false" customHeight="true" outlineLevel="0" collapsed="false">
      <c r="A60" s="43" t="s">
        <v>451</v>
      </c>
      <c r="B60" s="44" t="s">
        <v>452</v>
      </c>
    </row>
    <row r="61" customFormat="false" ht="13.5" hidden="false" customHeight="true" outlineLevel="0" collapsed="false">
      <c r="A61" s="43" t="s">
        <v>453</v>
      </c>
      <c r="B61" s="44"/>
    </row>
    <row r="62" customFormat="false" ht="13.5" hidden="false" customHeight="true" outlineLevel="0" collapsed="false">
      <c r="A62" s="43" t="s">
        <v>454</v>
      </c>
      <c r="B62" s="44" t="s">
        <v>455</v>
      </c>
    </row>
    <row r="63" customFormat="false" ht="13.5" hidden="false" customHeight="true" outlineLevel="0" collapsed="false">
      <c r="A63" s="43" t="s">
        <v>456</v>
      </c>
      <c r="B63" s="44" t="s">
        <v>457</v>
      </c>
    </row>
    <row r="64" customFormat="false" ht="13.5" hidden="false" customHeight="true" outlineLevel="0" collapsed="false">
      <c r="A64" s="43" t="s">
        <v>458</v>
      </c>
      <c r="B64" s="44" t="s">
        <v>459</v>
      </c>
    </row>
    <row r="65" customFormat="false" ht="13.5" hidden="false" customHeight="true" outlineLevel="0" collapsed="false">
      <c r="A65" s="43" t="s">
        <v>460</v>
      </c>
      <c r="B65" s="44" t="s">
        <v>461</v>
      </c>
    </row>
    <row r="66" customFormat="false" ht="13.5" hidden="false" customHeight="true" outlineLevel="0" collapsed="false">
      <c r="A66" s="43" t="s">
        <v>462</v>
      </c>
      <c r="B66" s="44" t="s">
        <v>414</v>
      </c>
    </row>
    <row r="67" customFormat="false" ht="13.5" hidden="false" customHeight="true" outlineLevel="0" collapsed="false">
      <c r="A67" s="43" t="s">
        <v>463</v>
      </c>
      <c r="B67" s="44"/>
    </row>
    <row r="68" customFormat="false" ht="13.5" hidden="false" customHeight="true" outlineLevel="0" collapsed="false">
      <c r="A68" s="43" t="s">
        <v>464</v>
      </c>
      <c r="B68" s="44" t="s">
        <v>465</v>
      </c>
    </row>
    <row r="69" customFormat="false" ht="13.5" hidden="false" customHeight="true" outlineLevel="0" collapsed="false">
      <c r="A69" s="43" t="s">
        <v>466</v>
      </c>
      <c r="B69" s="44" t="s">
        <v>467</v>
      </c>
    </row>
    <row r="70" customFormat="false" ht="13.5" hidden="false" customHeight="true" outlineLevel="0" collapsed="false">
      <c r="A70" s="43" t="s">
        <v>468</v>
      </c>
      <c r="B70" s="44" t="s">
        <v>469</v>
      </c>
    </row>
    <row r="71" customFormat="false" ht="13.5" hidden="false" customHeight="true" outlineLevel="0" collapsed="false">
      <c r="A71" s="43" t="s">
        <v>470</v>
      </c>
      <c r="B71" s="44" t="s">
        <v>414</v>
      </c>
    </row>
    <row r="72" customFormat="false" ht="13.5" hidden="false" customHeight="true" outlineLevel="0" collapsed="false">
      <c r="A72" s="43" t="s">
        <v>471</v>
      </c>
      <c r="B72" s="44"/>
    </row>
    <row r="73" customFormat="false" ht="13.5" hidden="false" customHeight="true" outlineLevel="0" collapsed="false">
      <c r="A73" s="43" t="s">
        <v>472</v>
      </c>
      <c r="B73" s="44" t="s">
        <v>473</v>
      </c>
    </row>
    <row r="74" customFormat="false" ht="13.5" hidden="false" customHeight="true" outlineLevel="0" collapsed="false">
      <c r="A74" s="43" t="s">
        <v>474</v>
      </c>
      <c r="B74" s="44" t="s">
        <v>475</v>
      </c>
    </row>
    <row r="75" customFormat="false" ht="13.5" hidden="false" customHeight="true" outlineLevel="0" collapsed="false">
      <c r="A75" s="43" t="s">
        <v>476</v>
      </c>
      <c r="B75" s="44" t="s">
        <v>477</v>
      </c>
    </row>
    <row r="76" customFormat="false" ht="13.5" hidden="false" customHeight="true" outlineLevel="0" collapsed="false">
      <c r="A76" s="43" t="s">
        <v>478</v>
      </c>
      <c r="B76" s="44" t="s">
        <v>479</v>
      </c>
    </row>
    <row r="77" customFormat="false" ht="13.5" hidden="false" customHeight="true" outlineLevel="0" collapsed="false">
      <c r="A77" s="43" t="s">
        <v>480</v>
      </c>
      <c r="B77" s="44" t="s">
        <v>481</v>
      </c>
    </row>
    <row r="78" customFormat="false" ht="13.5" hidden="false" customHeight="true" outlineLevel="0" collapsed="false">
      <c r="A78" s="43" t="s">
        <v>482</v>
      </c>
      <c r="B78" s="44"/>
    </row>
    <row r="79" customFormat="false" ht="13.5" hidden="false" customHeight="true" outlineLevel="0" collapsed="false">
      <c r="A79" s="43" t="s">
        <v>483</v>
      </c>
      <c r="B79" s="44" t="s">
        <v>484</v>
      </c>
    </row>
    <row r="80" customFormat="false" ht="13.5" hidden="false" customHeight="true" outlineLevel="0" collapsed="false">
      <c r="A80" s="43" t="s">
        <v>485</v>
      </c>
      <c r="B80" s="44" t="s">
        <v>486</v>
      </c>
    </row>
    <row r="81" customFormat="false" ht="13.5" hidden="false" customHeight="true" outlineLevel="0" collapsed="false">
      <c r="A81" s="43" t="s">
        <v>487</v>
      </c>
      <c r="B81" s="44" t="s">
        <v>488</v>
      </c>
    </row>
    <row r="82" customFormat="false" ht="13.5" hidden="false" customHeight="true" outlineLevel="0" collapsed="false">
      <c r="A82" s="43" t="s">
        <v>489</v>
      </c>
      <c r="B82" s="44" t="s">
        <v>414</v>
      </c>
    </row>
    <row r="83" customFormat="false" ht="13.5" hidden="false" customHeight="true" outlineLevel="0" collapsed="false">
      <c r="A83" s="43" t="s">
        <v>490</v>
      </c>
      <c r="B83" s="44"/>
    </row>
    <row r="84" customFormat="false" ht="13.5" hidden="false" customHeight="true" outlineLevel="0" collapsed="false">
      <c r="A84" s="43" t="s">
        <v>491</v>
      </c>
      <c r="B84" s="44" t="s">
        <v>492</v>
      </c>
    </row>
    <row r="85" customFormat="false" ht="13.5" hidden="false" customHeight="true" outlineLevel="0" collapsed="false">
      <c r="A85" s="43" t="s">
        <v>493</v>
      </c>
      <c r="B85" s="44" t="s">
        <v>494</v>
      </c>
    </row>
    <row r="86" customFormat="false" ht="13.5" hidden="false" customHeight="true" outlineLevel="0" collapsed="false">
      <c r="A86" s="43" t="s">
        <v>495</v>
      </c>
      <c r="B86" s="44" t="s">
        <v>496</v>
      </c>
    </row>
    <row r="87" customFormat="false" ht="13.5" hidden="false" customHeight="true" outlineLevel="0" collapsed="false">
      <c r="A87" s="43" t="s">
        <v>497</v>
      </c>
      <c r="B87" s="44" t="s">
        <v>498</v>
      </c>
    </row>
    <row r="88" customFormat="false" ht="13.5" hidden="false" customHeight="true" outlineLevel="0" collapsed="false">
      <c r="A88" s="43" t="s">
        <v>499</v>
      </c>
      <c r="B88" s="44" t="s">
        <v>500</v>
      </c>
    </row>
    <row r="89" customFormat="false" ht="13.5" hidden="false" customHeight="true" outlineLevel="0" collapsed="false">
      <c r="A89" s="43" t="s">
        <v>501</v>
      </c>
      <c r="B89" s="44"/>
    </row>
    <row r="90" customFormat="false" ht="13.5" hidden="false" customHeight="true" outlineLevel="0" collapsed="false">
      <c r="A90" s="43" t="s">
        <v>502</v>
      </c>
      <c r="B90" s="44" t="s">
        <v>503</v>
      </c>
    </row>
    <row r="91" customFormat="false" ht="13.5" hidden="false" customHeight="true" outlineLevel="0" collapsed="false">
      <c r="A91" s="43" t="s">
        <v>504</v>
      </c>
      <c r="B91" s="44" t="s">
        <v>505</v>
      </c>
    </row>
    <row r="92" customFormat="false" ht="13.5" hidden="false" customHeight="true" outlineLevel="0" collapsed="false">
      <c r="A92" s="43" t="s">
        <v>506</v>
      </c>
      <c r="B92" s="44" t="s">
        <v>507</v>
      </c>
    </row>
    <row r="93" customFormat="false" ht="13.5" hidden="false" customHeight="true" outlineLevel="0" collapsed="false">
      <c r="A93" s="43" t="s">
        <v>508</v>
      </c>
      <c r="B93" s="44" t="s">
        <v>414</v>
      </c>
    </row>
    <row r="94" customFormat="false" ht="13.5" hidden="false" customHeight="true" outlineLevel="0" collapsed="false">
      <c r="A94" s="43" t="s">
        <v>509</v>
      </c>
      <c r="B94" s="44"/>
    </row>
    <row r="95" customFormat="false" ht="13.5" hidden="false" customHeight="true" outlineLevel="0" collapsed="false">
      <c r="A95" s="43" t="s">
        <v>510</v>
      </c>
      <c r="B95" s="44" t="s">
        <v>511</v>
      </c>
    </row>
    <row r="96" customFormat="false" ht="13.5" hidden="false" customHeight="true" outlineLevel="0" collapsed="false">
      <c r="A96" s="43" t="s">
        <v>512</v>
      </c>
      <c r="B96" s="44" t="s">
        <v>513</v>
      </c>
    </row>
    <row r="97" customFormat="false" ht="13.5" hidden="false" customHeight="true" outlineLevel="0" collapsed="false">
      <c r="A97" s="43" t="s">
        <v>514</v>
      </c>
      <c r="B97" s="44" t="s">
        <v>515</v>
      </c>
    </row>
    <row r="98" customFormat="false" ht="13.5" hidden="false" customHeight="true" outlineLevel="0" collapsed="false">
      <c r="A98" s="43" t="s">
        <v>516</v>
      </c>
      <c r="B98" s="44" t="s">
        <v>517</v>
      </c>
    </row>
    <row r="99" customFormat="false" ht="13.5" hidden="false" customHeight="true" outlineLevel="0" collapsed="false">
      <c r="A99" s="43" t="s">
        <v>518</v>
      </c>
      <c r="B99" s="44" t="s">
        <v>519</v>
      </c>
    </row>
    <row r="100" customFormat="false" ht="13.5" hidden="false" customHeight="true" outlineLevel="0" collapsed="false">
      <c r="A100" s="43" t="s">
        <v>520</v>
      </c>
      <c r="B100" s="44" t="s">
        <v>521</v>
      </c>
    </row>
    <row r="101" customFormat="false" ht="13.5" hidden="false" customHeight="true" outlineLevel="0" collapsed="false">
      <c r="A101" s="43" t="s">
        <v>522</v>
      </c>
      <c r="B101" s="44" t="s">
        <v>523</v>
      </c>
    </row>
    <row r="102" customFormat="false" ht="13.5" hidden="false" customHeight="true" outlineLevel="0" collapsed="false">
      <c r="A102" s="43" t="s">
        <v>524</v>
      </c>
      <c r="B102" s="44"/>
    </row>
    <row r="103" customFormat="false" ht="13.5" hidden="false" customHeight="true" outlineLevel="0" collapsed="false">
      <c r="A103" s="43" t="s">
        <v>525</v>
      </c>
      <c r="B103" s="44" t="s">
        <v>526</v>
      </c>
    </row>
    <row r="104" customFormat="false" ht="13.5" hidden="false" customHeight="true" outlineLevel="0" collapsed="false">
      <c r="A104" s="43" t="s">
        <v>527</v>
      </c>
      <c r="B104" s="44" t="s">
        <v>528</v>
      </c>
    </row>
    <row r="105" customFormat="false" ht="13.5" hidden="false" customHeight="true" outlineLevel="0" collapsed="false">
      <c r="A105" s="43" t="s">
        <v>529</v>
      </c>
      <c r="B105" s="44" t="s">
        <v>530</v>
      </c>
    </row>
    <row r="106" customFormat="false" ht="13.5" hidden="false" customHeight="true" outlineLevel="0" collapsed="false">
      <c r="A106" s="43" t="s">
        <v>531</v>
      </c>
      <c r="B106" s="44" t="s">
        <v>532</v>
      </c>
    </row>
    <row r="107" customFormat="false" ht="13.5" hidden="false" customHeight="true" outlineLevel="0" collapsed="false">
      <c r="A107" s="43" t="s">
        <v>533</v>
      </c>
      <c r="B107" s="44" t="s">
        <v>534</v>
      </c>
    </row>
    <row r="108" customFormat="false" ht="13.5" hidden="false" customHeight="true" outlineLevel="0" collapsed="false">
      <c r="A108" s="43" t="s">
        <v>535</v>
      </c>
      <c r="B108" s="44" t="s">
        <v>414</v>
      </c>
    </row>
    <row r="109" customFormat="false" ht="13.5" hidden="false" customHeight="true" outlineLevel="0" collapsed="false">
      <c r="A109" s="43" t="s">
        <v>536</v>
      </c>
      <c r="B109" s="44"/>
    </row>
    <row r="110" customFormat="false" ht="13.5" hidden="false" customHeight="true" outlineLevel="0" collapsed="false">
      <c r="A110" s="43" t="s">
        <v>537</v>
      </c>
      <c r="B110" s="44" t="s">
        <v>538</v>
      </c>
    </row>
    <row r="111" customFormat="false" ht="13.5" hidden="false" customHeight="true" outlineLevel="0" collapsed="false">
      <c r="A111" s="43" t="s">
        <v>539</v>
      </c>
      <c r="B111" s="44" t="s">
        <v>540</v>
      </c>
    </row>
    <row r="112" customFormat="false" ht="13.5" hidden="false" customHeight="true" outlineLevel="0" collapsed="false">
      <c r="A112" s="43" t="s">
        <v>541</v>
      </c>
      <c r="B112" s="44" t="s">
        <v>542</v>
      </c>
    </row>
    <row r="113" customFormat="false" ht="13.5" hidden="false" customHeight="true" outlineLevel="0" collapsed="false">
      <c r="A113" s="43" t="s">
        <v>543</v>
      </c>
      <c r="B113" s="44" t="s">
        <v>414</v>
      </c>
    </row>
    <row r="114" customFormat="false" ht="13.5" hidden="false" customHeight="true" outlineLevel="0" collapsed="false">
      <c r="A114" s="43" t="s">
        <v>544</v>
      </c>
      <c r="B114" s="44"/>
    </row>
    <row r="115" customFormat="false" ht="13.5" hidden="false" customHeight="true" outlineLevel="0" collapsed="false">
      <c r="A115" s="43" t="s">
        <v>545</v>
      </c>
      <c r="B115" s="44" t="s">
        <v>546</v>
      </c>
    </row>
    <row r="116" customFormat="false" ht="13.5" hidden="false" customHeight="true" outlineLevel="0" collapsed="false">
      <c r="A116" s="43" t="s">
        <v>547</v>
      </c>
      <c r="B116" s="44" t="s">
        <v>548</v>
      </c>
    </row>
    <row r="117" customFormat="false" ht="13.5" hidden="false" customHeight="true" outlineLevel="0" collapsed="false">
      <c r="A117" s="43" t="s">
        <v>549</v>
      </c>
      <c r="B117" s="44" t="s">
        <v>550</v>
      </c>
    </row>
    <row r="118" customFormat="false" ht="13.5" hidden="false" customHeight="true" outlineLevel="0" collapsed="false">
      <c r="A118" s="43" t="s">
        <v>551</v>
      </c>
      <c r="B118" s="44" t="s">
        <v>414</v>
      </c>
    </row>
    <row r="119" customFormat="false" ht="13.5" hidden="false" customHeight="true" outlineLevel="0" collapsed="false">
      <c r="A119" s="43" t="s">
        <v>552</v>
      </c>
      <c r="B119" s="44"/>
    </row>
    <row r="120" customFormat="false" ht="13.5" hidden="false" customHeight="true" outlineLevel="0" collapsed="false">
      <c r="A120" s="43" t="s">
        <v>553</v>
      </c>
      <c r="B120" s="44" t="s">
        <v>554</v>
      </c>
    </row>
    <row r="121" customFormat="false" ht="13.5" hidden="false" customHeight="true" outlineLevel="0" collapsed="false">
      <c r="A121" s="43" t="s">
        <v>555</v>
      </c>
      <c r="B121" s="44" t="s">
        <v>556</v>
      </c>
    </row>
    <row r="122" customFormat="false" ht="13.5" hidden="false" customHeight="true" outlineLevel="0" collapsed="false">
      <c r="A122" s="43" t="s">
        <v>557</v>
      </c>
      <c r="B122" s="44" t="s">
        <v>558</v>
      </c>
    </row>
    <row r="123" customFormat="false" ht="13.5" hidden="false" customHeight="true" outlineLevel="0" collapsed="false">
      <c r="A123" s="43" t="s">
        <v>559</v>
      </c>
      <c r="B123" s="44" t="s">
        <v>560</v>
      </c>
    </row>
    <row r="124" customFormat="false" ht="13.5" hidden="false" customHeight="true" outlineLevel="0" collapsed="false">
      <c r="A124" s="43" t="s">
        <v>561</v>
      </c>
      <c r="B124" s="44" t="s">
        <v>562</v>
      </c>
    </row>
    <row r="125" customFormat="false" ht="13.5" hidden="false" customHeight="true" outlineLevel="0" collapsed="false">
      <c r="A125" s="43" t="s">
        <v>563</v>
      </c>
      <c r="B125" s="44"/>
    </row>
    <row r="126" customFormat="false" ht="13.5" hidden="false" customHeight="true" outlineLevel="0" collapsed="false">
      <c r="A126" s="43" t="s">
        <v>564</v>
      </c>
      <c r="B126" s="44" t="s">
        <v>565</v>
      </c>
    </row>
    <row r="127" customFormat="false" ht="13.5" hidden="false" customHeight="true" outlineLevel="0" collapsed="false">
      <c r="A127" s="43" t="s">
        <v>566</v>
      </c>
      <c r="B127" s="44" t="s">
        <v>567</v>
      </c>
    </row>
    <row r="128" customFormat="false" ht="13.5" hidden="false" customHeight="true" outlineLevel="0" collapsed="false">
      <c r="A128" s="43" t="s">
        <v>568</v>
      </c>
      <c r="B128" s="44" t="s">
        <v>530</v>
      </c>
    </row>
    <row r="129" customFormat="false" ht="13.5" hidden="false" customHeight="true" outlineLevel="0" collapsed="false">
      <c r="A129" s="43" t="s">
        <v>569</v>
      </c>
      <c r="B129" s="44" t="s">
        <v>570</v>
      </c>
    </row>
    <row r="130" customFormat="false" ht="13.5" hidden="false" customHeight="true" outlineLevel="0" collapsed="false">
      <c r="A130" s="43" t="s">
        <v>571</v>
      </c>
      <c r="B130" s="44" t="s">
        <v>572</v>
      </c>
    </row>
    <row r="131" customFormat="false" ht="13.5" hidden="false" customHeight="true" outlineLevel="0" collapsed="false">
      <c r="A131" s="43" t="s">
        <v>573</v>
      </c>
      <c r="B131" s="44" t="s">
        <v>414</v>
      </c>
    </row>
    <row r="132" customFormat="false" ht="13.5" hidden="false" customHeight="true" outlineLevel="0" collapsed="false">
      <c r="A132" s="43" t="s">
        <v>574</v>
      </c>
      <c r="B132" s="44"/>
    </row>
    <row r="133" customFormat="false" ht="13.5" hidden="false" customHeight="true" outlineLevel="0" collapsed="false">
      <c r="A133" s="43" t="s">
        <v>575</v>
      </c>
      <c r="B133" s="44" t="s">
        <v>576</v>
      </c>
    </row>
    <row r="134" customFormat="false" ht="13.5" hidden="false" customHeight="true" outlineLevel="0" collapsed="false">
      <c r="A134" s="43" t="s">
        <v>577</v>
      </c>
      <c r="B134" s="44" t="s">
        <v>578</v>
      </c>
    </row>
    <row r="135" customFormat="false" ht="13.5" hidden="false" customHeight="true" outlineLevel="0" collapsed="false">
      <c r="A135" s="43" t="s">
        <v>579</v>
      </c>
      <c r="B135" s="44" t="s">
        <v>580</v>
      </c>
    </row>
    <row r="136" customFormat="false" ht="13.5" hidden="false" customHeight="true" outlineLevel="0" collapsed="false">
      <c r="A136" s="43" t="s">
        <v>581</v>
      </c>
      <c r="B136" s="44" t="s">
        <v>582</v>
      </c>
    </row>
    <row r="137" customFormat="false" ht="13.5" hidden="false" customHeight="true" outlineLevel="0" collapsed="false">
      <c r="A137" s="43" t="s">
        <v>583</v>
      </c>
      <c r="B137" s="44" t="s">
        <v>584</v>
      </c>
    </row>
    <row r="138" customFormat="false" ht="13.5" hidden="false" customHeight="true" outlineLevel="0" collapsed="false">
      <c r="A138" s="43" t="s">
        <v>585</v>
      </c>
      <c r="B138" s="44" t="s">
        <v>586</v>
      </c>
    </row>
    <row r="139" customFormat="false" ht="13.5" hidden="false" customHeight="true" outlineLevel="0" collapsed="false">
      <c r="A139" s="43" t="s">
        <v>587</v>
      </c>
      <c r="B139" s="44" t="s">
        <v>588</v>
      </c>
    </row>
    <row r="140" customFormat="false" ht="13.5" hidden="false" customHeight="true" outlineLevel="0" collapsed="false">
      <c r="A140" s="43" t="s">
        <v>589</v>
      </c>
      <c r="B140" s="44" t="s">
        <v>590</v>
      </c>
    </row>
    <row r="141" customFormat="false" ht="13.5" hidden="false" customHeight="true" outlineLevel="0" collapsed="false">
      <c r="A141" s="43" t="s">
        <v>591</v>
      </c>
      <c r="B141" s="44" t="s">
        <v>592</v>
      </c>
    </row>
    <row r="142" customFormat="false" ht="13.5" hidden="false" customHeight="true" outlineLevel="0" collapsed="false">
      <c r="A142" s="43" t="s">
        <v>593</v>
      </c>
      <c r="B142" s="44" t="s">
        <v>594</v>
      </c>
    </row>
    <row r="143" customFormat="false" ht="13.5" hidden="false" customHeight="true" outlineLevel="0" collapsed="false">
      <c r="A143" s="43" t="s">
        <v>595</v>
      </c>
      <c r="B143" s="44" t="s">
        <v>596</v>
      </c>
    </row>
    <row r="144" customFormat="false" ht="13.5" hidden="false" customHeight="true" outlineLevel="0" collapsed="false">
      <c r="A144" s="43" t="s">
        <v>597</v>
      </c>
      <c r="B144" s="44" t="s">
        <v>598</v>
      </c>
    </row>
    <row r="145" customFormat="false" ht="13.5" hidden="false" customHeight="true" outlineLevel="0" collapsed="false">
      <c r="A145" s="43" t="s">
        <v>599</v>
      </c>
      <c r="B145" s="44" t="s">
        <v>600</v>
      </c>
    </row>
    <row r="146" customFormat="false" ht="13.5" hidden="false" customHeight="true" outlineLevel="0" collapsed="false">
      <c r="A146" s="43" t="s">
        <v>601</v>
      </c>
      <c r="B146" s="44" t="s">
        <v>602</v>
      </c>
    </row>
    <row r="147" customFormat="false" ht="13.5" hidden="false" customHeight="true" outlineLevel="0" collapsed="false">
      <c r="A147" s="43" t="s">
        <v>603</v>
      </c>
      <c r="B147" s="44"/>
    </row>
    <row r="148" customFormat="false" ht="13.5" hidden="false" customHeight="true" outlineLevel="0" collapsed="false">
      <c r="A148" s="43" t="s">
        <v>604</v>
      </c>
      <c r="B148" s="44" t="s">
        <v>605</v>
      </c>
    </row>
    <row r="149" customFormat="false" ht="13.5" hidden="false" customHeight="true" outlineLevel="0" collapsed="false">
      <c r="A149" s="43" t="s">
        <v>606</v>
      </c>
      <c r="B149" s="44" t="s">
        <v>607</v>
      </c>
    </row>
    <row r="150" customFormat="false" ht="13.5" hidden="false" customHeight="true" outlineLevel="0" collapsed="false">
      <c r="A150" s="43" t="s">
        <v>608</v>
      </c>
      <c r="B150" s="44" t="s">
        <v>609</v>
      </c>
    </row>
    <row r="151" customFormat="false" ht="13.5" hidden="false" customHeight="true" outlineLevel="0" collapsed="false">
      <c r="A151" s="43" t="s">
        <v>610</v>
      </c>
      <c r="B151" s="44" t="s">
        <v>611</v>
      </c>
    </row>
    <row r="152" customFormat="false" ht="13.5" hidden="false" customHeight="true" outlineLevel="0" collapsed="false">
      <c r="A152" s="43" t="s">
        <v>612</v>
      </c>
      <c r="B152" s="44" t="s">
        <v>613</v>
      </c>
    </row>
    <row r="153" customFormat="false" ht="13.5" hidden="false" customHeight="true" outlineLevel="0" collapsed="false">
      <c r="A153" s="43" t="s">
        <v>614</v>
      </c>
      <c r="B153" s="44" t="s">
        <v>615</v>
      </c>
    </row>
    <row r="154" customFormat="false" ht="13.5" hidden="false" customHeight="true" outlineLevel="0" collapsed="false">
      <c r="A154" s="43" t="s">
        <v>616</v>
      </c>
      <c r="B154" s="44" t="s">
        <v>617</v>
      </c>
    </row>
    <row r="155" customFormat="false" ht="13.5" hidden="false" customHeight="true" outlineLevel="0" collapsed="false">
      <c r="A155" s="43" t="s">
        <v>618</v>
      </c>
      <c r="B155" s="44" t="s">
        <v>619</v>
      </c>
    </row>
    <row r="156" customFormat="false" ht="13.5" hidden="false" customHeight="true" outlineLevel="0" collapsed="false">
      <c r="A156" s="43" t="s">
        <v>620</v>
      </c>
      <c r="B156" s="44" t="s">
        <v>621</v>
      </c>
    </row>
    <row r="157" customFormat="false" ht="13.5" hidden="false" customHeight="true" outlineLevel="0" collapsed="false">
      <c r="A157" s="43" t="s">
        <v>622</v>
      </c>
      <c r="B157" s="44" t="s">
        <v>623</v>
      </c>
    </row>
    <row r="158" customFormat="false" ht="13.5" hidden="false" customHeight="true" outlineLevel="0" collapsed="false">
      <c r="A158" s="43" t="s">
        <v>624</v>
      </c>
      <c r="B158" s="44" t="s">
        <v>625</v>
      </c>
    </row>
    <row r="159" customFormat="false" ht="13.5" hidden="false" customHeight="true" outlineLevel="0" collapsed="false">
      <c r="A159" s="43" t="s">
        <v>626</v>
      </c>
      <c r="B159" s="44" t="s">
        <v>627</v>
      </c>
    </row>
    <row r="160" customFormat="false" ht="13.5" hidden="false" customHeight="true" outlineLevel="0" collapsed="false">
      <c r="A160" s="43" t="s">
        <v>628</v>
      </c>
      <c r="B160" s="44" t="s">
        <v>629</v>
      </c>
    </row>
    <row r="161" customFormat="false" ht="13.5" hidden="false" customHeight="true" outlineLevel="0" collapsed="false">
      <c r="A161" s="43" t="s">
        <v>630</v>
      </c>
      <c r="B161" s="44" t="s">
        <v>631</v>
      </c>
    </row>
    <row r="162" customFormat="false" ht="13.5" hidden="false" customHeight="true" outlineLevel="0" collapsed="false">
      <c r="A162" s="43" t="s">
        <v>632</v>
      </c>
      <c r="B162" s="44" t="s">
        <v>633</v>
      </c>
    </row>
    <row r="163" customFormat="false" ht="13.5" hidden="false" customHeight="true" outlineLevel="0" collapsed="false">
      <c r="A163" s="43" t="s">
        <v>634</v>
      </c>
      <c r="B163" s="44" t="s">
        <v>635</v>
      </c>
    </row>
    <row r="164" customFormat="false" ht="13.5" hidden="false" customHeight="true" outlineLevel="0" collapsed="false">
      <c r="A164" s="43" t="s">
        <v>636</v>
      </c>
      <c r="B164" s="44" t="s">
        <v>637</v>
      </c>
    </row>
    <row r="165" customFormat="false" ht="13.5" hidden="false" customHeight="true" outlineLevel="0" collapsed="false">
      <c r="A165" s="43" t="s">
        <v>638</v>
      </c>
      <c r="B165" s="44" t="s">
        <v>639</v>
      </c>
    </row>
    <row r="166" customFormat="false" ht="13.5" hidden="false" customHeight="true" outlineLevel="0" collapsed="false">
      <c r="A166" s="43" t="s">
        <v>640</v>
      </c>
      <c r="B166" s="44" t="s">
        <v>641</v>
      </c>
    </row>
    <row r="167" customFormat="false" ht="13.5" hidden="false" customHeight="true" outlineLevel="0" collapsed="false">
      <c r="A167" s="43" t="s">
        <v>642</v>
      </c>
      <c r="B167" s="44" t="s">
        <v>643</v>
      </c>
    </row>
    <row r="168" customFormat="false" ht="13.5" hidden="false" customHeight="true" outlineLevel="0" collapsed="false">
      <c r="A168" s="43" t="s">
        <v>644</v>
      </c>
      <c r="B168" s="44" t="s">
        <v>625</v>
      </c>
    </row>
    <row r="169" customFormat="false" ht="13.5" hidden="false" customHeight="true" outlineLevel="0" collapsed="false">
      <c r="A169" s="43" t="s">
        <v>645</v>
      </c>
      <c r="B169" s="44" t="s">
        <v>646</v>
      </c>
    </row>
    <row r="170" customFormat="false" ht="13.5" hidden="false" customHeight="true" outlineLevel="0" collapsed="false">
      <c r="A170" s="43" t="s">
        <v>647</v>
      </c>
      <c r="B170" s="44" t="s">
        <v>648</v>
      </c>
    </row>
    <row r="171" customFormat="false" ht="13.5" hidden="false" customHeight="true" outlineLevel="0" collapsed="false">
      <c r="A171" s="43" t="s">
        <v>649</v>
      </c>
      <c r="B171" s="44" t="s">
        <v>650</v>
      </c>
    </row>
    <row r="172" customFormat="false" ht="13.5" hidden="false" customHeight="true" outlineLevel="0" collapsed="false">
      <c r="A172" s="43" t="s">
        <v>651</v>
      </c>
      <c r="B172" s="44" t="s">
        <v>652</v>
      </c>
    </row>
    <row r="173" customFormat="false" ht="13.5" hidden="false" customHeight="true" outlineLevel="0" collapsed="false">
      <c r="A173" s="43" t="s">
        <v>653</v>
      </c>
      <c r="B173" s="44" t="s">
        <v>654</v>
      </c>
    </row>
    <row r="174" customFormat="false" ht="13.5" hidden="false" customHeight="true" outlineLevel="0" collapsed="false">
      <c r="A174" s="43" t="s">
        <v>655</v>
      </c>
      <c r="B174" s="44" t="s">
        <v>625</v>
      </c>
    </row>
    <row r="175" customFormat="false" ht="13.5" hidden="false" customHeight="true" outlineLevel="0" collapsed="false">
      <c r="A175" s="43" t="s">
        <v>656</v>
      </c>
      <c r="B175" s="44" t="s">
        <v>657</v>
      </c>
    </row>
    <row r="176" customFormat="false" ht="13.5" hidden="false" customHeight="true" outlineLevel="0" collapsed="false">
      <c r="A176" s="43" t="s">
        <v>658</v>
      </c>
      <c r="B176" s="44" t="s">
        <v>659</v>
      </c>
    </row>
    <row r="177" customFormat="false" ht="13.5" hidden="false" customHeight="true" outlineLevel="0" collapsed="false">
      <c r="A177" s="43" t="s">
        <v>660</v>
      </c>
      <c r="B177" s="44" t="s">
        <v>661</v>
      </c>
    </row>
    <row r="178" customFormat="false" ht="13.5" hidden="false" customHeight="true" outlineLevel="0" collapsed="false">
      <c r="A178" s="43" t="s">
        <v>662</v>
      </c>
      <c r="B178" s="44" t="s">
        <v>663</v>
      </c>
    </row>
    <row r="179" customFormat="false" ht="13.5" hidden="false" customHeight="true" outlineLevel="0" collapsed="false">
      <c r="A179" s="43" t="s">
        <v>664</v>
      </c>
      <c r="B179" s="44" t="s">
        <v>665</v>
      </c>
    </row>
    <row r="180" customFormat="false" ht="13.5" hidden="false" customHeight="true" outlineLevel="0" collapsed="false">
      <c r="A180" s="43" t="s">
        <v>666</v>
      </c>
      <c r="B180" s="44" t="s">
        <v>625</v>
      </c>
    </row>
    <row r="181" customFormat="false" ht="13.5" hidden="false" customHeight="true" outlineLevel="0" collapsed="false">
      <c r="A181" s="43" t="s">
        <v>667</v>
      </c>
      <c r="B181" s="44" t="s">
        <v>668</v>
      </c>
    </row>
    <row r="182" customFormat="false" ht="13.5" hidden="false" customHeight="true" outlineLevel="0" collapsed="false">
      <c r="A182" s="43" t="s">
        <v>669</v>
      </c>
      <c r="B182" s="44" t="s">
        <v>670</v>
      </c>
    </row>
    <row r="183" customFormat="false" ht="13.5" hidden="false" customHeight="true" outlineLevel="0" collapsed="false">
      <c r="A183" s="43" t="s">
        <v>671</v>
      </c>
      <c r="B183" s="44" t="s">
        <v>672</v>
      </c>
    </row>
    <row r="184" customFormat="false" ht="13.5" hidden="false" customHeight="true" outlineLevel="0" collapsed="false">
      <c r="A184" s="43" t="s">
        <v>673</v>
      </c>
      <c r="B184" s="44" t="s">
        <v>674</v>
      </c>
    </row>
    <row r="185" customFormat="false" ht="13.5" hidden="false" customHeight="true" outlineLevel="0" collapsed="false">
      <c r="A185" s="43" t="s">
        <v>675</v>
      </c>
      <c r="B185" s="44" t="s">
        <v>676</v>
      </c>
    </row>
    <row r="186" customFormat="false" ht="13.5" hidden="false" customHeight="true" outlineLevel="0" collapsed="false">
      <c r="A186" s="43" t="s">
        <v>677</v>
      </c>
      <c r="B186" s="44" t="s">
        <v>625</v>
      </c>
    </row>
    <row r="187" customFormat="false" ht="13.5" hidden="false" customHeight="true" outlineLevel="0" collapsed="false">
      <c r="A187" s="43" t="s">
        <v>678</v>
      </c>
      <c r="B187" s="44" t="s">
        <v>679</v>
      </c>
    </row>
    <row r="188" customFormat="false" ht="13.5" hidden="false" customHeight="true" outlineLevel="0" collapsed="false">
      <c r="A188" s="43" t="s">
        <v>680</v>
      </c>
      <c r="B188" s="44" t="s">
        <v>681</v>
      </c>
    </row>
    <row r="189" customFormat="false" ht="13.5" hidden="false" customHeight="true" outlineLevel="0" collapsed="false">
      <c r="A189" s="43" t="s">
        <v>682</v>
      </c>
      <c r="B189" s="44" t="s">
        <v>683</v>
      </c>
    </row>
    <row r="190" customFormat="false" ht="13.5" hidden="false" customHeight="true" outlineLevel="0" collapsed="false">
      <c r="A190" s="43" t="s">
        <v>684</v>
      </c>
      <c r="B190" s="44" t="s">
        <v>685</v>
      </c>
    </row>
    <row r="191" customFormat="false" ht="13.5" hidden="false" customHeight="true" outlineLevel="0" collapsed="false">
      <c r="A191" s="43" t="s">
        <v>686</v>
      </c>
      <c r="B191" s="44" t="s">
        <v>687</v>
      </c>
    </row>
    <row r="192" customFormat="false" ht="13.5" hidden="false" customHeight="true" outlineLevel="0" collapsed="false">
      <c r="A192" s="43" t="s">
        <v>688</v>
      </c>
      <c r="B192" s="44" t="s">
        <v>689</v>
      </c>
    </row>
    <row r="193" customFormat="false" ht="13.5" hidden="false" customHeight="true" outlineLevel="0" collapsed="false">
      <c r="A193" s="43" t="s">
        <v>690</v>
      </c>
      <c r="B193" s="44" t="s">
        <v>691</v>
      </c>
    </row>
    <row r="194" customFormat="false" ht="13.5" hidden="false" customHeight="true" outlineLevel="0" collapsed="false">
      <c r="A194" s="43" t="s">
        <v>692</v>
      </c>
      <c r="B194" s="44" t="s">
        <v>625</v>
      </c>
    </row>
    <row r="195" customFormat="false" ht="13.5" hidden="false" customHeight="true" outlineLevel="0" collapsed="false">
      <c r="A195" s="43" t="s">
        <v>693</v>
      </c>
      <c r="B195" s="44" t="s">
        <v>694</v>
      </c>
    </row>
    <row r="196" customFormat="false" ht="13.5" hidden="false" customHeight="true" outlineLevel="0" collapsed="false">
      <c r="A196" s="43" t="s">
        <v>695</v>
      </c>
      <c r="B196" s="44" t="s">
        <v>696</v>
      </c>
    </row>
    <row r="197" customFormat="false" ht="13.5" hidden="false" customHeight="true" outlineLevel="0" collapsed="false">
      <c r="A197" s="43" t="s">
        <v>697</v>
      </c>
      <c r="B197" s="44" t="s">
        <v>698</v>
      </c>
    </row>
    <row r="198" customFormat="false" ht="13.5" hidden="false" customHeight="true" outlineLevel="0" collapsed="false">
      <c r="A198" s="43" t="s">
        <v>699</v>
      </c>
      <c r="B198" s="44" t="s">
        <v>700</v>
      </c>
    </row>
    <row r="199" customFormat="false" ht="13.5" hidden="false" customHeight="true" outlineLevel="0" collapsed="false">
      <c r="A199" s="43" t="s">
        <v>701</v>
      </c>
      <c r="B199" s="44" t="s">
        <v>702</v>
      </c>
    </row>
    <row r="200" customFormat="false" ht="13.5" hidden="false" customHeight="true" outlineLevel="0" collapsed="false">
      <c r="A200" s="43" t="s">
        <v>703</v>
      </c>
      <c r="B200" s="44" t="s">
        <v>625</v>
      </c>
    </row>
    <row r="201" customFormat="false" ht="13.5" hidden="false" customHeight="true" outlineLevel="0" collapsed="false">
      <c r="A201" s="43" t="s">
        <v>704</v>
      </c>
      <c r="B201" s="44" t="s">
        <v>705</v>
      </c>
    </row>
    <row r="202" customFormat="false" ht="13.5" hidden="false" customHeight="true" outlineLevel="0" collapsed="false">
      <c r="A202" s="43" t="s">
        <v>706</v>
      </c>
      <c r="B202" s="44" t="s">
        <v>707</v>
      </c>
    </row>
    <row r="203" customFormat="false" ht="13.5" hidden="false" customHeight="true" outlineLevel="0" collapsed="false">
      <c r="A203" s="43" t="s">
        <v>708</v>
      </c>
      <c r="B203" s="44" t="s">
        <v>709</v>
      </c>
    </row>
    <row r="204" customFormat="false" ht="13.5" hidden="false" customHeight="true" outlineLevel="0" collapsed="false">
      <c r="A204" s="43" t="s">
        <v>710</v>
      </c>
      <c r="B204" s="44" t="s">
        <v>711</v>
      </c>
    </row>
    <row r="205" customFormat="false" ht="13.5" hidden="false" customHeight="true" outlineLevel="0" collapsed="false">
      <c r="A205" s="43" t="s">
        <v>712</v>
      </c>
      <c r="B205" s="44" t="s">
        <v>713</v>
      </c>
    </row>
    <row r="206" customFormat="false" ht="13.5" hidden="false" customHeight="true" outlineLevel="0" collapsed="false">
      <c r="A206" s="43" t="s">
        <v>714</v>
      </c>
      <c r="B206" s="44" t="s">
        <v>715</v>
      </c>
    </row>
    <row r="207" customFormat="false" ht="13.5" hidden="false" customHeight="true" outlineLevel="0" collapsed="false">
      <c r="A207" s="43" t="s">
        <v>716</v>
      </c>
      <c r="B207" s="44" t="s">
        <v>717</v>
      </c>
    </row>
    <row r="208" customFormat="false" ht="13.5" hidden="false" customHeight="true" outlineLevel="0" collapsed="false">
      <c r="A208" s="43" t="s">
        <v>718</v>
      </c>
      <c r="B208" s="44" t="s">
        <v>719</v>
      </c>
    </row>
    <row r="209" customFormat="false" ht="13.5" hidden="false" customHeight="true" outlineLevel="0" collapsed="false">
      <c r="A209" s="43" t="s">
        <v>720</v>
      </c>
      <c r="B209" s="44" t="s">
        <v>721</v>
      </c>
    </row>
    <row r="210" customFormat="false" ht="13.5" hidden="false" customHeight="true" outlineLevel="0" collapsed="false">
      <c r="A210" s="43" t="s">
        <v>722</v>
      </c>
      <c r="B210" s="44" t="s">
        <v>723</v>
      </c>
    </row>
    <row r="211" customFormat="false" ht="13.5" hidden="false" customHeight="true" outlineLevel="0" collapsed="false">
      <c r="A211" s="43" t="s">
        <v>724</v>
      </c>
      <c r="B211" s="44" t="s">
        <v>725</v>
      </c>
    </row>
    <row r="212" customFormat="false" ht="13.5" hidden="false" customHeight="true" outlineLevel="0" collapsed="false">
      <c r="A212" s="43" t="s">
        <v>726</v>
      </c>
      <c r="B212" s="44" t="s">
        <v>727</v>
      </c>
    </row>
    <row r="213" customFormat="false" ht="13.5" hidden="false" customHeight="true" outlineLevel="0" collapsed="false">
      <c r="A213" s="43" t="s">
        <v>728</v>
      </c>
      <c r="B213" s="44"/>
    </row>
    <row r="214" customFormat="false" ht="13.5" hidden="false" customHeight="true" outlineLevel="0" collapsed="false">
      <c r="A214" s="43" t="s">
        <v>729</v>
      </c>
      <c r="B214" s="44" t="s">
        <v>730</v>
      </c>
    </row>
    <row r="215" customFormat="false" ht="13.5" hidden="false" customHeight="true" outlineLevel="0" collapsed="false">
      <c r="A215" s="43" t="s">
        <v>731</v>
      </c>
      <c r="B215" s="44" t="s">
        <v>732</v>
      </c>
    </row>
    <row r="216" customFormat="false" ht="13.5" hidden="false" customHeight="true" outlineLevel="0" collapsed="false">
      <c r="A216" s="43" t="s">
        <v>733</v>
      </c>
      <c r="B216" s="44" t="s">
        <v>734</v>
      </c>
    </row>
    <row r="217" customFormat="false" ht="13.5" hidden="false" customHeight="true" outlineLevel="0" collapsed="false">
      <c r="A217" s="43" t="s">
        <v>735</v>
      </c>
      <c r="B217" s="44" t="s">
        <v>736</v>
      </c>
    </row>
    <row r="218" customFormat="false" ht="13.5" hidden="false" customHeight="true" outlineLevel="0" collapsed="false">
      <c r="A218" s="43" t="s">
        <v>737</v>
      </c>
      <c r="B218" s="44" t="s">
        <v>738</v>
      </c>
    </row>
    <row r="219" customFormat="false" ht="13.5" hidden="false" customHeight="true" outlineLevel="0" collapsed="false">
      <c r="A219" s="43" t="s">
        <v>739</v>
      </c>
      <c r="B219" s="44" t="s">
        <v>740</v>
      </c>
    </row>
    <row r="220" customFormat="false" ht="13.5" hidden="false" customHeight="true" outlineLevel="0" collapsed="false">
      <c r="A220" s="43" t="s">
        <v>741</v>
      </c>
      <c r="B220" s="44" t="s">
        <v>742</v>
      </c>
    </row>
    <row r="221" customFormat="false" ht="13.5" hidden="false" customHeight="true" outlineLevel="0" collapsed="false">
      <c r="A221" s="43" t="s">
        <v>743</v>
      </c>
      <c r="B221" s="44" t="s">
        <v>744</v>
      </c>
    </row>
    <row r="222" customFormat="false" ht="13.5" hidden="false" customHeight="true" outlineLevel="0" collapsed="false">
      <c r="A222" s="43" t="s">
        <v>745</v>
      </c>
      <c r="B222" s="44" t="s">
        <v>746</v>
      </c>
    </row>
    <row r="223" customFormat="false" ht="13.5" hidden="false" customHeight="true" outlineLevel="0" collapsed="false">
      <c r="A223" s="43" t="s">
        <v>747</v>
      </c>
      <c r="B223" s="44" t="s">
        <v>748</v>
      </c>
    </row>
    <row r="224" customFormat="false" ht="13.5" hidden="false" customHeight="true" outlineLevel="0" collapsed="false">
      <c r="A224" s="43" t="s">
        <v>749</v>
      </c>
      <c r="B224" s="44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2026-05-20T19:24:30Z</dcterms:created>
  <dc:creator>openpyxl</dc:creator>
  <dc:description/>
  <dc:language>en-US</dc:language>
  <cp:lastModifiedBy/>
  <dcterms:modified xsi:type="dcterms:W3CDTF">2026-05-20T19:24:31Z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